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_Final" sheetId="1" state="visible" r:id="rId1"/>
    <sheet name="Por_Porte" sheetId="2" state="visible" r:id="rId2"/>
    <sheet name="Dados_Br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Relatório de Alíquota de Referência CBS — Serviços de TI</t>
        </is>
      </c>
    </row>
    <row r="2">
      <c r="A2" t="inlineStr">
        <is>
          <t>MOD_SINT_001 | TC 015.848/2025-6 | Exercício 2025</t>
        </is>
      </c>
    </row>
    <row r="3">
      <c r="A3" t="inlineStr">
        <is>
          <t>Gerado em: 2026-02-14 | Responsável: SERPRO/COSIT</t>
        </is>
      </c>
    </row>
    <row r="5">
      <c r="A5" s="2" t="inlineStr">
        <is>
          <t>Porte</t>
        </is>
      </c>
      <c r="B5" s="2" t="inlineStr">
        <is>
          <t>Nº Empresas</t>
        </is>
      </c>
      <c r="C5" s="2" t="inlineStr">
        <is>
          <t>BC Total (R$ bi)</t>
        </is>
      </c>
      <c r="D5" s="2" t="inlineStr">
        <is>
          <t>CBS Total (R$ bi)</t>
        </is>
      </c>
      <c r="E5" s="2" t="inlineStr">
        <is>
          <t>Alíquota Ref. (%)</t>
        </is>
      </c>
    </row>
    <row r="6">
      <c r="A6" t="inlineStr">
        <is>
          <t>ME</t>
        </is>
      </c>
      <c r="B6" t="n">
        <v>48230</v>
      </c>
      <c r="C6" t="n">
        <v>12.4</v>
      </c>
      <c r="D6" t="n">
        <v>1.072</v>
      </c>
      <c r="E6" t="n">
        <v>8.65</v>
      </c>
    </row>
    <row r="7">
      <c r="A7" t="inlineStr">
        <is>
          <t>EPP</t>
        </is>
      </c>
      <c r="B7" t="n">
        <v>31450</v>
      </c>
      <c r="C7" t="n">
        <v>87.3</v>
      </c>
      <c r="D7" t="n">
        <v>7.604</v>
      </c>
      <c r="E7" t="n">
        <v>8.710000000000001</v>
      </c>
    </row>
    <row r="8">
      <c r="A8" t="inlineStr">
        <is>
          <t>Outros</t>
        </is>
      </c>
      <c r="B8" t="n">
        <v>8807</v>
      </c>
      <c r="C8" t="n">
        <v>1423.7</v>
      </c>
      <c r="D8" t="n">
        <v>125.041</v>
      </c>
      <c r="E8" t="n">
        <v>8.779999999999999</v>
      </c>
    </row>
    <row r="10">
      <c r="A10" s="3" t="inlineStr">
        <is>
          <t>Total</t>
        </is>
      </c>
      <c r="B10" s="3">
        <f>SUM(B6:B8)</f>
        <v/>
      </c>
      <c r="C10" s="3">
        <f>SUM(C6:C8)</f>
        <v/>
      </c>
      <c r="D10" s="3">
        <f>SUM(D6:D8)</f>
        <v/>
      </c>
      <c r="E10" s="3">
        <f>D10/C10*100</f>
        <v/>
      </c>
    </row>
    <row r="12">
      <c r="A12" t="inlineStr">
        <is>
          <t>VERIFICAÇÃO: alíquota calculada bate com SQL</t>
        </is>
      </c>
      <c r="B12" t="inlineStr">
        <is>
          <t>8.77%</t>
        </is>
      </c>
      <c r="C12" t="inlineStr">
        <is>
          <t>✓ OK</t>
        </is>
      </c>
    </row>
    <row r="13">
      <c r="A13" t="inlineStr">
        <is>
          <t>VERIFICAÇÃO: contagem CNPJs bate com SQL</t>
        </is>
      </c>
      <c r="B13" t="inlineStr">
        <is>
          <t>88.487</t>
        </is>
      </c>
      <c r="C13" t="inlineStr">
        <is>
          <t>✓ OK</t>
        </is>
      </c>
    </row>
    <row r="14">
      <c r="A14" t="inlineStr">
        <is>
          <t>VERIFICAÇÃO: BC total bate com SQL (R$ bi)</t>
        </is>
      </c>
      <c r="B14" t="inlineStr">
        <is>
          <t>1523.4</t>
        </is>
      </c>
      <c r="C14" t="inlineStr">
        <is>
          <t>✓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Detalhamento por Porte e CNAE</t>
        </is>
      </c>
    </row>
    <row r="3">
      <c r="A3" s="5" t="inlineStr">
        <is>
          <t>CNAE</t>
        </is>
      </c>
      <c r="B3" s="5" t="inlineStr">
        <is>
          <t>Descrição CNAE</t>
        </is>
      </c>
      <c r="C3" s="5" t="inlineStr">
        <is>
          <t>Porte</t>
        </is>
      </c>
      <c r="D3" s="5" t="inlineStr">
        <is>
          <t>Nº Empresas</t>
        </is>
      </c>
      <c r="E3" s="5" t="inlineStr">
        <is>
          <t>BC (R$ mi)</t>
        </is>
      </c>
      <c r="F3" s="5" t="inlineStr">
        <is>
          <t>CBS (R$ mi)</t>
        </is>
      </c>
      <c r="G3" s="5" t="inlineStr">
        <is>
          <t>Alíquota (%)</t>
        </is>
      </c>
    </row>
    <row r="4">
      <c r="A4" t="inlineStr">
        <is>
          <t>6201500</t>
        </is>
      </c>
      <c r="B4" t="inlineStr">
        <is>
          <t>Desenvolvimento sob encomenda</t>
        </is>
      </c>
      <c r="C4" t="inlineStr">
        <is>
          <t>ME</t>
        </is>
      </c>
      <c r="D4" t="n">
        <v>15200</v>
      </c>
      <c r="E4" t="n">
        <v>3.8</v>
      </c>
      <c r="F4" t="n">
        <v>0.328</v>
      </c>
      <c r="G4" t="n">
        <v>8.630000000000001</v>
      </c>
    </row>
    <row r="5">
      <c r="A5" t="inlineStr">
        <is>
          <t>6201500</t>
        </is>
      </c>
      <c r="B5" t="inlineStr">
        <is>
          <t>Desenvolvimento sob encomenda</t>
        </is>
      </c>
      <c r="C5" t="inlineStr">
        <is>
          <t>EPP</t>
        </is>
      </c>
      <c r="D5" t="n">
        <v>10300</v>
      </c>
      <c r="E5" t="n">
        <v>28.1</v>
      </c>
      <c r="F5" t="n">
        <v>2.449</v>
      </c>
      <c r="G5" t="n">
        <v>8.710000000000001</v>
      </c>
    </row>
    <row r="6">
      <c r="A6" t="inlineStr">
        <is>
          <t>6201500</t>
        </is>
      </c>
      <c r="B6" t="inlineStr">
        <is>
          <t>Desenvolvimento sob encomenda</t>
        </is>
      </c>
      <c r="C6" t="inlineStr">
        <is>
          <t>Outros</t>
        </is>
      </c>
      <c r="D6" t="n">
        <v>2800</v>
      </c>
      <c r="E6" t="n">
        <v>467.2</v>
      </c>
      <c r="F6" t="n">
        <v>41.037</v>
      </c>
      <c r="G6" t="n">
        <v>8.789999999999999</v>
      </c>
    </row>
    <row r="7">
      <c r="A7" t="inlineStr">
        <is>
          <t>6202300</t>
        </is>
      </c>
      <c r="B7" t="inlineStr">
        <is>
          <t>Desenvolvimento customizável</t>
        </is>
      </c>
      <c r="C7" t="inlineStr">
        <is>
          <t>ME</t>
        </is>
      </c>
      <c r="D7" t="n">
        <v>14100</v>
      </c>
      <c r="E7" t="n">
        <v>4.2</v>
      </c>
      <c r="F7" t="n">
        <v>0.363</v>
      </c>
      <c r="G7" t="n">
        <v>8.640000000000001</v>
      </c>
    </row>
    <row r="8">
      <c r="A8" t="inlineStr">
        <is>
          <t>6202300</t>
        </is>
      </c>
      <c r="B8" t="inlineStr">
        <is>
          <t>Desenvolvimento customizável</t>
        </is>
      </c>
      <c r="C8" t="inlineStr">
        <is>
          <t>EPP</t>
        </is>
      </c>
      <c r="D8" t="n">
        <v>9800</v>
      </c>
      <c r="E8" t="n">
        <v>26.5</v>
      </c>
      <c r="F8" t="n">
        <v>2.307</v>
      </c>
      <c r="G8" t="n">
        <v>8.710000000000001</v>
      </c>
    </row>
    <row r="9">
      <c r="A9" t="inlineStr">
        <is>
          <t>6202300</t>
        </is>
      </c>
      <c r="B9" t="inlineStr">
        <is>
          <t>Desenvolvimento customizável</t>
        </is>
      </c>
      <c r="C9" t="inlineStr">
        <is>
          <t>Outros</t>
        </is>
      </c>
      <c r="D9" t="n">
        <v>2350</v>
      </c>
      <c r="E9" t="n">
        <v>392.1</v>
      </c>
      <c r="F9" t="n">
        <v>34.441</v>
      </c>
      <c r="G9" t="n">
        <v>8.789999999999999</v>
      </c>
    </row>
    <row r="10">
      <c r="A10" t="inlineStr">
        <is>
          <t>6203100</t>
        </is>
      </c>
      <c r="B10" t="inlineStr">
        <is>
          <t>Desenvolvimento não-customizável</t>
        </is>
      </c>
      <c r="C10" t="inlineStr">
        <is>
          <t>ME</t>
        </is>
      </c>
      <c r="D10" t="n">
        <v>10200</v>
      </c>
      <c r="E10" t="n">
        <v>2.8</v>
      </c>
      <c r="F10" t="n">
        <v>0.242</v>
      </c>
      <c r="G10" t="n">
        <v>8.640000000000001</v>
      </c>
    </row>
    <row r="11">
      <c r="A11" t="inlineStr">
        <is>
          <t>6203100</t>
        </is>
      </c>
      <c r="B11" t="inlineStr">
        <is>
          <t>Desenvolvimento não-customizável</t>
        </is>
      </c>
      <c r="C11" t="inlineStr">
        <is>
          <t>EPP</t>
        </is>
      </c>
      <c r="D11" t="n">
        <v>7100</v>
      </c>
      <c r="E11" t="n">
        <v>19.4</v>
      </c>
      <c r="F11" t="n">
        <v>1.69</v>
      </c>
      <c r="G11" t="n">
        <v>8.710000000000001</v>
      </c>
    </row>
    <row r="12">
      <c r="A12" t="inlineStr">
        <is>
          <t>6203100</t>
        </is>
      </c>
      <c r="B12" t="inlineStr">
        <is>
          <t>Desenvolvimento não-customizável</t>
        </is>
      </c>
      <c r="C12" t="inlineStr">
        <is>
          <t>Outros</t>
        </is>
      </c>
      <c r="D12" t="n">
        <v>2100</v>
      </c>
      <c r="E12" t="n">
        <v>341.3</v>
      </c>
      <c r="F12" t="n">
        <v>29.98</v>
      </c>
      <c r="G12" t="n">
        <v>8.779999999999999</v>
      </c>
    </row>
    <row r="13">
      <c r="A13" t="inlineStr">
        <is>
          <t>6209100</t>
        </is>
      </c>
      <c r="B13" t="inlineStr">
        <is>
          <t>Suporte técnico e outros</t>
        </is>
      </c>
      <c r="C13" t="inlineStr">
        <is>
          <t>ME</t>
        </is>
      </c>
      <c r="D13" t="n">
        <v>8730</v>
      </c>
      <c r="E13" t="n">
        <v>1.6</v>
      </c>
      <c r="F13" t="n">
        <v>0.138</v>
      </c>
      <c r="G13" t="n">
        <v>8.630000000000001</v>
      </c>
    </row>
    <row r="14">
      <c r="A14" t="inlineStr">
        <is>
          <t>6209100</t>
        </is>
      </c>
      <c r="B14" t="inlineStr">
        <is>
          <t>Suporte técnico e outros</t>
        </is>
      </c>
      <c r="C14" t="inlineStr">
        <is>
          <t>EPP</t>
        </is>
      </c>
      <c r="D14" t="n">
        <v>4250</v>
      </c>
      <c r="E14" t="n">
        <v>13.3</v>
      </c>
      <c r="F14" t="n">
        <v>1.158</v>
      </c>
      <c r="G14" t="n">
        <v>8.710000000000001</v>
      </c>
    </row>
    <row r="15">
      <c r="A15" t="inlineStr">
        <is>
          <t>6209100</t>
        </is>
      </c>
      <c r="B15" t="inlineStr">
        <is>
          <t>Suporte técnico e outros</t>
        </is>
      </c>
      <c r="C15" t="inlineStr">
        <is>
          <t>Outros</t>
        </is>
      </c>
      <c r="D15" t="n">
        <v>1557</v>
      </c>
      <c r="E15" t="n">
        <v>223.1</v>
      </c>
      <c r="F15" t="n">
        <v>19.584</v>
      </c>
      <c r="G15" t="n">
        <v>8.779999999999999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Amostra de Dados Brutos — primeiros 10 registros (dados fictícios)</t>
        </is>
      </c>
    </row>
    <row r="3">
      <c r="A3" t="inlineStr">
        <is>
          <t>cnpj_raiz</t>
        </is>
      </c>
      <c r="B3" t="inlineStr">
        <is>
          <t>cnae_principal</t>
        </is>
      </c>
      <c r="C3" t="inlineStr">
        <is>
          <t>porte</t>
        </is>
      </c>
      <c r="D3" t="inlineStr">
        <is>
          <t>bc_total_anual (R$)</t>
        </is>
      </c>
      <c r="E3" t="inlineStr">
        <is>
          <t>cbs_total_anual (R$)</t>
        </is>
      </c>
      <c r="F3" t="inlineStr">
        <is>
          <t>aliquota_efetiva (%)</t>
        </is>
      </c>
      <c r="G3" t="inlineStr">
        <is>
          <t>flag_outlier</t>
        </is>
      </c>
      <c r="H3" t="inlineStr">
        <is>
          <t>flag_rais_ausente</t>
        </is>
      </c>
    </row>
    <row r="4">
      <c r="A4" t="inlineStr">
        <is>
          <t>95822412</t>
        </is>
      </c>
      <c r="B4" t="inlineStr">
        <is>
          <t>6201500</t>
        </is>
      </c>
      <c r="C4" t="inlineStr">
        <is>
          <t>ME</t>
        </is>
      </c>
      <c r="D4" t="n">
        <v>3720674.97</v>
      </c>
      <c r="E4" t="n">
        <v>326675.26</v>
      </c>
      <c r="F4" t="n">
        <v>8.779999999999999</v>
      </c>
      <c r="G4" t="n">
        <v>0</v>
      </c>
      <c r="H4" t="n">
        <v>0</v>
      </c>
    </row>
    <row r="5">
      <c r="A5" t="inlineStr">
        <is>
          <t>23756669</t>
        </is>
      </c>
      <c r="B5" t="inlineStr">
        <is>
          <t>6201500</t>
        </is>
      </c>
      <c r="C5" t="inlineStr">
        <is>
          <t>Outros</t>
        </is>
      </c>
      <c r="D5" t="n">
        <v>2138513.01</v>
      </c>
      <c r="E5" t="n">
        <v>193321.58</v>
      </c>
      <c r="F5" t="n">
        <v>9.039999999999999</v>
      </c>
      <c r="G5" t="n">
        <v>0</v>
      </c>
      <c r="H5" t="n">
        <v>0</v>
      </c>
    </row>
    <row r="6">
      <c r="A6" t="inlineStr">
        <is>
          <t>13999315</t>
        </is>
      </c>
      <c r="B6" t="inlineStr">
        <is>
          <t>6201500</t>
        </is>
      </c>
      <c r="C6" t="inlineStr">
        <is>
          <t>ME</t>
        </is>
      </c>
      <c r="D6" t="n">
        <v>1201671.42</v>
      </c>
      <c r="E6" t="n">
        <v>99258.06</v>
      </c>
      <c r="F6" t="n">
        <v>8.26</v>
      </c>
      <c r="G6" t="n">
        <v>0</v>
      </c>
      <c r="H6" t="n">
        <v>0</v>
      </c>
    </row>
    <row r="7">
      <c r="A7" t="inlineStr">
        <is>
          <t>97226012</t>
        </is>
      </c>
      <c r="B7" t="inlineStr">
        <is>
          <t>6209100</t>
        </is>
      </c>
      <c r="C7" t="inlineStr">
        <is>
          <t>ME</t>
        </is>
      </c>
      <c r="D7" t="n">
        <v>2273584.78</v>
      </c>
      <c r="E7" t="n">
        <v>190753.76</v>
      </c>
      <c r="F7" t="n">
        <v>8.390000000000001</v>
      </c>
      <c r="G7" t="n">
        <v>0</v>
      </c>
      <c r="H7" t="n">
        <v>0</v>
      </c>
    </row>
    <row r="8">
      <c r="A8" t="inlineStr">
        <is>
          <t>47338124</t>
        </is>
      </c>
      <c r="B8" t="inlineStr">
        <is>
          <t>6201500</t>
        </is>
      </c>
      <c r="C8" t="inlineStr">
        <is>
          <t>ME</t>
        </is>
      </c>
      <c r="D8" t="n">
        <v>3505790.01</v>
      </c>
      <c r="E8" t="n">
        <v>301848.52</v>
      </c>
      <c r="F8" t="n">
        <v>8.609999999999999</v>
      </c>
      <c r="G8" t="n">
        <v>0</v>
      </c>
      <c r="H8" t="n">
        <v>0</v>
      </c>
    </row>
    <row r="9">
      <c r="A9" t="inlineStr">
        <is>
          <t>55176955</t>
        </is>
      </c>
      <c r="B9" t="inlineStr">
        <is>
          <t>6201500</t>
        </is>
      </c>
      <c r="C9" t="inlineStr">
        <is>
          <t>ME</t>
        </is>
      </c>
      <c r="D9" t="n">
        <v>1930640.14</v>
      </c>
      <c r="E9" t="n">
        <v>174143.74</v>
      </c>
      <c r="F9" t="n">
        <v>9.02</v>
      </c>
      <c r="G9" t="n">
        <v>0</v>
      </c>
      <c r="H9" t="n">
        <v>0</v>
      </c>
    </row>
    <row r="10">
      <c r="A10" t="inlineStr">
        <is>
          <t>58181396</t>
        </is>
      </c>
      <c r="B10" t="inlineStr">
        <is>
          <t>6203100</t>
        </is>
      </c>
      <c r="C10" t="inlineStr">
        <is>
          <t>Outros</t>
        </is>
      </c>
      <c r="D10" t="n">
        <v>1359378.29</v>
      </c>
      <c r="E10" t="n">
        <v>126422.18</v>
      </c>
      <c r="F10" t="n">
        <v>9.300000000000001</v>
      </c>
      <c r="G10" t="n">
        <v>0</v>
      </c>
      <c r="H10" t="n">
        <v>0</v>
      </c>
    </row>
    <row r="11">
      <c r="A11" t="inlineStr">
        <is>
          <t>26753883</t>
        </is>
      </c>
      <c r="B11" t="inlineStr">
        <is>
          <t>6209100</t>
        </is>
      </c>
      <c r="C11" t="inlineStr">
        <is>
          <t>ME</t>
        </is>
      </c>
      <c r="D11" t="n">
        <v>2782601.12</v>
      </c>
      <c r="E11" t="n">
        <v>248208.02</v>
      </c>
      <c r="F11" t="n">
        <v>8.92</v>
      </c>
      <c r="G11" t="n">
        <v>0</v>
      </c>
      <c r="H11" t="n">
        <v>0</v>
      </c>
    </row>
    <row r="12">
      <c r="A12" t="inlineStr">
        <is>
          <t>94374605</t>
        </is>
      </c>
      <c r="B12" t="inlineStr">
        <is>
          <t>6203100</t>
        </is>
      </c>
      <c r="C12" t="inlineStr">
        <is>
          <t>Outros</t>
        </is>
      </c>
      <c r="D12" t="n">
        <v>1001828.52</v>
      </c>
      <c r="E12" t="n">
        <v>94572.61</v>
      </c>
      <c r="F12" t="n">
        <v>9.44</v>
      </c>
      <c r="G12" t="n">
        <v>0</v>
      </c>
      <c r="H12" t="n">
        <v>0</v>
      </c>
    </row>
    <row r="13">
      <c r="A13" t="inlineStr">
        <is>
          <t>48840994</t>
        </is>
      </c>
      <c r="B13" t="inlineStr">
        <is>
          <t>6201500</t>
        </is>
      </c>
      <c r="C13" t="inlineStr">
        <is>
          <t>ME</t>
        </is>
      </c>
      <c r="D13" t="n">
        <v>4339094.15</v>
      </c>
      <c r="E13" t="n">
        <v>393989.75</v>
      </c>
      <c r="F13" t="n">
        <v>9.08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2026-05-13T03:50:28Z</dcterms:created>
  <dcterms:modified xsi:type="dcterms:W3CDTF">2026-05-13T03:50:28Z</dcterms:modified>
</cp:coreProperties>
</file>