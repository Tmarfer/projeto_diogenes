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tcucloud-my.sharepoint.com/personal/marquesf_tcu_gov_br/Documents/4-CalculoCBS2027/1-RECEITAS_RECEITA_FEDERAL/MOD_010_Pessoa_Fisica/ENTREGA/2026_04_27/01_ENTRADA_COPIADA/"/>
    </mc:Choice>
  </mc:AlternateContent>
  <xr:revisionPtr revIDLastSave="0" documentId="13_ncr:1_{3C0FB276-E9BE-4BF4-8622-DDFC35CBED00}" xr6:coauthVersionLast="47" xr6:coauthVersionMax="47" xr10:uidLastSave="{00000000-0000-0000-0000-000000000000}"/>
  <bookViews>
    <workbookView xWindow="0" yWindow="600" windowWidth="51200" windowHeight="21000" tabRatio="851" xr2:uid="{1455B010-BD93-42D0-A21C-2D546A625EB4}"/>
  </bookViews>
  <sheets>
    <sheet name="AUX_MOD_10" sheetId="1" r:id="rId1"/>
    <sheet name="AUX_MOD_10.1" sheetId="2" r:id="rId2"/>
    <sheet name="AUX_MOD_10.2" sheetId="3" r:id="rId3"/>
    <sheet name="AUX_MOD_10.3" sheetId="10" r:id="rId4"/>
    <sheet name="AUX_MOD_10.4" sheetId="9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F97" i="1" l="1"/>
  <c r="H97" i="1"/>
  <c r="E71" i="1" l="1"/>
  <c r="G71" i="1" s="1"/>
  <c r="E58" i="1"/>
  <c r="G58" i="1" s="1"/>
  <c r="C71" i="1"/>
  <c r="C58" i="1"/>
  <c r="D71" i="1"/>
  <c r="F71" i="1" s="1"/>
  <c r="D58" i="1"/>
  <c r="F58" i="1" s="1"/>
  <c r="D26" i="1" l="1"/>
  <c r="F81" i="1"/>
  <c r="H81" i="1"/>
  <c r="F82" i="1"/>
  <c r="H82" i="1"/>
  <c r="F83" i="1"/>
  <c r="H83" i="1"/>
  <c r="F84" i="1"/>
  <c r="H84" i="1"/>
  <c r="F85" i="1"/>
  <c r="H85" i="1"/>
  <c r="F86" i="1"/>
  <c r="H86" i="1"/>
  <c r="F87" i="1"/>
  <c r="H87" i="1"/>
  <c r="F88" i="1"/>
  <c r="H88" i="1"/>
  <c r="F89" i="1"/>
  <c r="H89" i="1"/>
  <c r="F90" i="1"/>
  <c r="H90" i="1"/>
  <c r="H80" i="1"/>
  <c r="F80" i="1"/>
  <c r="F22" i="1"/>
  <c r="F23" i="1"/>
  <c r="F24" i="1"/>
  <c r="F25" i="1"/>
  <c r="F26" i="1"/>
  <c r="F27" i="1"/>
  <c r="F28" i="1"/>
  <c r="F29" i="1"/>
  <c r="F30" i="1"/>
  <c r="F31" i="1"/>
  <c r="F21" i="1"/>
  <c r="D22" i="1"/>
  <c r="D23" i="1"/>
  <c r="D24" i="1"/>
  <c r="D25" i="1"/>
  <c r="D27" i="1"/>
  <c r="D28" i="1"/>
  <c r="D29" i="1"/>
  <c r="D30" i="1"/>
  <c r="D31" i="1"/>
  <c r="D21" i="1"/>
  <c r="D66" i="1"/>
  <c r="D67" i="1"/>
  <c r="D68" i="1"/>
  <c r="D69" i="1"/>
  <c r="D70" i="1"/>
  <c r="D65" i="1"/>
  <c r="D53" i="1"/>
  <c r="D54" i="1"/>
  <c r="D55" i="1"/>
  <c r="D56" i="1"/>
  <c r="D57" i="1"/>
  <c r="D52" i="1"/>
  <c r="F93" i="1"/>
  <c r="H93" i="1"/>
  <c r="F94" i="1"/>
  <c r="H94" i="1"/>
  <c r="F95" i="1"/>
  <c r="H95" i="1"/>
  <c r="F96" i="1"/>
  <c r="H96" i="1"/>
  <c r="H92" i="1"/>
  <c r="F92" i="1"/>
  <c r="E66" i="1"/>
  <c r="E67" i="1"/>
  <c r="E68" i="1"/>
  <c r="E69" i="1"/>
  <c r="E70" i="1"/>
  <c r="E65" i="1"/>
  <c r="E53" i="1"/>
  <c r="E54" i="1"/>
  <c r="E55" i="1"/>
  <c r="E56" i="1"/>
  <c r="E57" i="1"/>
  <c r="E52" i="1"/>
  <c r="D40" i="1"/>
  <c r="F40" i="1"/>
  <c r="D41" i="1"/>
  <c r="F41" i="1"/>
  <c r="D42" i="1"/>
  <c r="F42" i="1"/>
  <c r="D43" i="1"/>
  <c r="F43" i="1"/>
  <c r="D44" i="1"/>
  <c r="F44" i="1"/>
  <c r="F39" i="1"/>
  <c r="D39" i="1"/>
  <c r="C97" i="1" l="1"/>
  <c r="D97" i="1"/>
  <c r="E97" i="1" s="1"/>
  <c r="D82" i="1"/>
  <c r="C81" i="1"/>
  <c r="D83" i="1"/>
  <c r="D85" i="1"/>
  <c r="D86" i="1"/>
  <c r="D87" i="1"/>
  <c r="D88" i="1"/>
  <c r="E88" i="1" s="1"/>
  <c r="C82" i="1"/>
  <c r="C80" i="1"/>
  <c r="D84" i="1"/>
  <c r="E84" i="1" s="1"/>
  <c r="D89" i="1"/>
  <c r="C90" i="1"/>
  <c r="C85" i="1"/>
  <c r="C86" i="1"/>
  <c r="C87" i="1"/>
  <c r="C89" i="1"/>
  <c r="C83" i="1"/>
  <c r="C88" i="1"/>
  <c r="C84" i="1"/>
  <c r="C26" i="1"/>
  <c r="C27" i="1"/>
  <c r="C29" i="1"/>
  <c r="C30" i="1"/>
  <c r="C22" i="1"/>
  <c r="C23" i="1"/>
  <c r="C24" i="1"/>
  <c r="C28" i="1"/>
  <c r="C31" i="1"/>
  <c r="C21" i="1"/>
  <c r="G21" i="1" s="1"/>
  <c r="C25" i="1"/>
  <c r="D94" i="1"/>
  <c r="C96" i="1"/>
  <c r="C93" i="1"/>
  <c r="C95" i="1"/>
  <c r="C92" i="1"/>
  <c r="D95" i="1"/>
  <c r="D96" i="1"/>
  <c r="C94" i="1"/>
  <c r="D93" i="1"/>
  <c r="C57" i="1"/>
  <c r="F57" i="1" s="1"/>
  <c r="C66" i="1"/>
  <c r="C54" i="1"/>
  <c r="C55" i="1"/>
  <c r="C70" i="1"/>
  <c r="C65" i="1"/>
  <c r="C56" i="1"/>
  <c r="C52" i="1"/>
  <c r="C67" i="1"/>
  <c r="C69" i="1"/>
  <c r="C68" i="1"/>
  <c r="C53" i="1"/>
  <c r="C41" i="1"/>
  <c r="C39" i="1"/>
  <c r="C40" i="1"/>
  <c r="C43" i="1"/>
  <c r="C42" i="1"/>
  <c r="C44" i="1"/>
  <c r="D90" i="1"/>
  <c r="E85" i="1" l="1"/>
  <c r="G85" i="1" s="1"/>
  <c r="E87" i="1"/>
  <c r="I87" i="1" s="1"/>
  <c r="E86" i="1"/>
  <c r="G86" i="1" s="1"/>
  <c r="G97" i="1"/>
  <c r="I97" i="1"/>
  <c r="E89" i="1"/>
  <c r="G89" i="1" s="1"/>
  <c r="G88" i="1"/>
  <c r="I88" i="1"/>
  <c r="E26" i="1"/>
  <c r="G26" i="1"/>
  <c r="G84" i="1"/>
  <c r="I84" i="1"/>
  <c r="I86" i="1"/>
  <c r="I85" i="1"/>
  <c r="E83" i="1"/>
  <c r="E82" i="1"/>
  <c r="E31" i="1"/>
  <c r="G31" i="1"/>
  <c r="E24" i="1"/>
  <c r="G24" i="1"/>
  <c r="E29" i="1"/>
  <c r="G29" i="1"/>
  <c r="E25" i="1"/>
  <c r="G25" i="1"/>
  <c r="E28" i="1"/>
  <c r="G28" i="1"/>
  <c r="E23" i="1"/>
  <c r="G23" i="1"/>
  <c r="E22" i="1"/>
  <c r="G22" i="1"/>
  <c r="E30" i="1"/>
  <c r="G30" i="1"/>
  <c r="E27" i="1"/>
  <c r="G27" i="1"/>
  <c r="E94" i="1"/>
  <c r="E93" i="1"/>
  <c r="G57" i="1"/>
  <c r="E96" i="1"/>
  <c r="E95" i="1"/>
  <c r="F69" i="1"/>
  <c r="G69" i="1"/>
  <c r="F67" i="1"/>
  <c r="G67" i="1"/>
  <c r="F65" i="1"/>
  <c r="G65" i="1"/>
  <c r="G70" i="1"/>
  <c r="F70" i="1"/>
  <c r="F66" i="1"/>
  <c r="G66" i="1"/>
  <c r="F68" i="1"/>
  <c r="G68" i="1"/>
  <c r="G43" i="1"/>
  <c r="E43" i="1"/>
  <c r="G42" i="1"/>
  <c r="E42" i="1"/>
  <c r="G40" i="1"/>
  <c r="E40" i="1"/>
  <c r="E41" i="1"/>
  <c r="G41" i="1"/>
  <c r="E44" i="1"/>
  <c r="G44" i="1"/>
  <c r="G55" i="1"/>
  <c r="F55" i="1"/>
  <c r="D81" i="1"/>
  <c r="E90" i="1"/>
  <c r="G90" i="1" s="1"/>
  <c r="D80" i="1"/>
  <c r="D92" i="1"/>
  <c r="G87" i="1" l="1"/>
  <c r="I89" i="1"/>
  <c r="F64" i="1"/>
  <c r="G10" i="1" s="1"/>
  <c r="G64" i="1"/>
  <c r="G11" i="1" s="1"/>
  <c r="I82" i="1"/>
  <c r="G82" i="1"/>
  <c r="G83" i="1"/>
  <c r="I83" i="1"/>
  <c r="I96" i="1"/>
  <c r="G96" i="1"/>
  <c r="G93" i="1"/>
  <c r="I93" i="1"/>
  <c r="I95" i="1"/>
  <c r="G95" i="1"/>
  <c r="G94" i="1"/>
  <c r="I94" i="1"/>
  <c r="E81" i="1"/>
  <c r="E21" i="1"/>
  <c r="G39" i="1"/>
  <c r="G45" i="1" s="1"/>
  <c r="F11" i="1" s="1"/>
  <c r="E39" i="1"/>
  <c r="E92" i="1"/>
  <c r="G54" i="1"/>
  <c r="F54" i="1"/>
  <c r="G56" i="1"/>
  <c r="F56" i="1"/>
  <c r="E80" i="1"/>
  <c r="G53" i="1"/>
  <c r="F53" i="1"/>
  <c r="G52" i="1"/>
  <c r="F52" i="1"/>
  <c r="I90" i="1"/>
  <c r="F51" i="1" l="1"/>
  <c r="D10" i="1" s="1"/>
  <c r="G51" i="1"/>
  <c r="D11" i="1" s="1"/>
  <c r="I81" i="1"/>
  <c r="G81" i="1"/>
  <c r="E45" i="1"/>
  <c r="C11" i="1" s="1"/>
  <c r="H11" i="1"/>
  <c r="E20" i="1"/>
  <c r="C10" i="1" s="1"/>
  <c r="G20" i="1"/>
  <c r="F10" i="1" s="1"/>
  <c r="H10" i="1" s="1"/>
  <c r="I92" i="1"/>
  <c r="I91" i="1" s="1"/>
  <c r="G92" i="1"/>
  <c r="G91" i="1" s="1"/>
  <c r="I80" i="1"/>
  <c r="G80" i="1"/>
  <c r="G79" i="1" l="1"/>
  <c r="I79" i="1"/>
  <c r="E11" i="1"/>
  <c r="E10" i="1"/>
</calcChain>
</file>

<file path=xl/sharedStrings.xml><?xml version="1.0" encoding="utf-8"?>
<sst xmlns="http://schemas.openxmlformats.org/spreadsheetml/2006/main" count="297" uniqueCount="120">
  <si>
    <t>10. MÓDULO PESSOA FÍSICA</t>
  </si>
  <si>
    <t>(R$ bilhões)</t>
  </si>
  <si>
    <t>Débitos apurados</t>
  </si>
  <si>
    <t>Créditos apurados</t>
  </si>
  <si>
    <t>10.1 - Produtor Rural contribuinte da CBS - Art. 164 e 165.</t>
  </si>
  <si>
    <t>Alíquotas</t>
  </si>
  <si>
    <t>Alíquota CBS</t>
  </si>
  <si>
    <t>BC da produção (Débitos)</t>
  </si>
  <si>
    <t>TOTAL</t>
  </si>
  <si>
    <t>BC dos serviços (Débitos)</t>
  </si>
  <si>
    <t>BC dos custos e despesas (Créditos)</t>
  </si>
  <si>
    <t>Custos e despesas sujeitos a tomada de crédito tributado as seguintes alíquotas</t>
  </si>
  <si>
    <t>10.1 - Produtor Rural contribuinte CBS - Art. 164 e 165.</t>
  </si>
  <si>
    <t>Total</t>
  </si>
  <si>
    <t>Alíquota do Débito da PF</t>
  </si>
  <si>
    <t>Alíquota da tomada de crédito no Módulo Central</t>
  </si>
  <si>
    <t>Diferença entre as alíquotas</t>
  </si>
  <si>
    <t>Ajuste no módulo Central</t>
  </si>
  <si>
    <t>DADOS</t>
  </si>
  <si>
    <t>Especificação</t>
  </si>
  <si>
    <t>Periodicidade</t>
  </si>
  <si>
    <t>Escopo</t>
  </si>
  <si>
    <t>Informação a extrair</t>
  </si>
  <si>
    <t>Produtos/Serviços Prestados pela PF com aproveitamento de créditos pelo adquirente</t>
  </si>
  <si>
    <t>ALÍQUOTA DE REFERÊNCIA</t>
  </si>
  <si>
    <t>Tabela 10.1.1 BC dos Débitos</t>
  </si>
  <si>
    <t>Tabela 10.1.2 BC dos Créditos</t>
  </si>
  <si>
    <t>Tabela 10.2.1 BC dos Débitos</t>
  </si>
  <si>
    <t>Tabela 10.2.2 BC dos Créditos</t>
  </si>
  <si>
    <t>I. ARRECADAÇÃO PRÓPRIA</t>
  </si>
  <si>
    <t>Tabela Resumo - Arrecadação Própria</t>
  </si>
  <si>
    <t>Contribuinte Pessoa Física</t>
  </si>
  <si>
    <t>Arrecadação estimada</t>
  </si>
  <si>
    <t>10.1 - Produtor Rural contribuinte CBS - Art. 164 e 165. (Fatur. &gt;3,6 mi e não integrado)</t>
  </si>
  <si>
    <t>II. AJUSTE NO RESULTADO DO MÓDULO CENTRAL</t>
  </si>
  <si>
    <t xml:space="preserve">Alíq. Reduzida em 30% - Profissionais Liberais - Art. 127 </t>
  </si>
  <si>
    <t>10.2 - Serviços Prestados por Pessoas Físicas Contribuintes da CBS</t>
  </si>
  <si>
    <t>Alíquota 0% - Cesta Básica - Anexo I - Art 125</t>
  </si>
  <si>
    <t>Alíquota 0% - Produtos Hortícolas - Anexo XV - Art 148</t>
  </si>
  <si>
    <t>Alíquota reduzida 60%  -Alimentos - Anexo VII - Art 135</t>
  </si>
  <si>
    <t>Alíquota reduzida 60%  -Insumos agropecuários - Anexo IX - art 138</t>
  </si>
  <si>
    <t>Alíquota reduzida 60%  -Produtos agropecuários in natura - art 137</t>
  </si>
  <si>
    <t>Alíquota de Referência - Demais Produtos</t>
  </si>
  <si>
    <t>10.4 - Parcela destinada a Consumo Intermediário - Serviços Prestados por Pessoas Físicas Contribuintes da CBS</t>
  </si>
  <si>
    <t>Tabela 10.4 BC dos Débitos Destinados a Consumo Intermediário</t>
  </si>
  <si>
    <t>10.3 - Produtor Rural contribuinte CBS - Art. 164 e 165.</t>
  </si>
  <si>
    <t>10.4 - BC dos Débitos Destinados a Consumo Intermediário</t>
  </si>
  <si>
    <t>Alíquota 0% - Medicamentos - art 146</t>
  </si>
  <si>
    <t>Alíquota 0% - Tratores, maq, caminhões, - Art 110</t>
  </si>
  <si>
    <t>Alíquota reduzida 60%  -Dispositivos médicos - Anexo IV - Art 131</t>
  </si>
  <si>
    <t>Alíquota reduzida 60%  -Medicamentos - Anexo VI - Art 133 § 1º</t>
  </si>
  <si>
    <t>Alíquota reduzida 60% - Anexo X - art 139</t>
  </si>
  <si>
    <t>Combustíveis</t>
  </si>
  <si>
    <t>10.3 - Parcela destinada a Consumo Intermediário - Produtor Rural contribuinte da CBS - Art. 164 e 165.</t>
  </si>
  <si>
    <t>Alíq. Referência - Demais serviços e bens</t>
  </si>
  <si>
    <t>Alíq. Referência - Titular de Cartório</t>
  </si>
  <si>
    <t>Alíq. reduzida em 60%  - Serviços de saúde - Art. 130 (Anexo III)</t>
  </si>
  <si>
    <t>Alíq. reduzida em 60%  - Prof. artes, cultura, eventos, jornalistica e audio - Art. 139 (Anexo X)</t>
  </si>
  <si>
    <t>Alíq. reduzida em 60%  - Prof. educação - Art. 129</t>
  </si>
  <si>
    <t>Série histórica do levantamento de preços — Agência Nacional do Petróleo, Gás Natural e Biocombustíveis</t>
  </si>
  <si>
    <t>Alíquota ad rem diesel - Combustíveis (R$/L)</t>
  </si>
  <si>
    <t>Preço médio por litro diesel 2023 (ANP)</t>
  </si>
  <si>
    <t>Preço médio por litro diesel 2024 (ANP)</t>
  </si>
  <si>
    <t>- Nota Fiscal Eletrônica (NF-e)</t>
  </si>
  <si>
    <t>- Esocial</t>
  </si>
  <si>
    <t>2023-2024</t>
  </si>
  <si>
    <t>Receitas e Despesas da atividade rural dos produtores com renda anual superior a R$ 3,6 milhões, declarados na DIRPF</t>
  </si>
  <si>
    <t>- Declaração do Imposto de Renda das Pessoas Físicas (DIRPF)</t>
  </si>
  <si>
    <t>- Dados de arrecadação DARF</t>
  </si>
  <si>
    <t>- Preço médio combustíveis ANP</t>
  </si>
  <si>
    <t>Notas Fiscais emitidas por produtor rural PF ou pela empresa adquirente de sua produção</t>
  </si>
  <si>
    <t>Arrecadação de tributos pelo produtor rural PF</t>
  </si>
  <si>
    <t>Registros da massa salarial declarados no Esocial do produtor rural PF</t>
  </si>
  <si>
    <t>Identificação do CPF dos produtores rurais PF na DIRPF =&gt; preencheu ficha de atividade rural e declarou mais de R$ 3,6 milhões de receita</t>
  </si>
  <si>
    <t>Valor da receita da atividade rural e valor das despesas da atividade rural declaradas na DIRPF</t>
  </si>
  <si>
    <t>Identificação das NF-e de venda emitidas pelos produtores rurais PF</t>
  </si>
  <si>
    <t>Identificação das NF-e de compra emitidas pelas empresas adquirentes do produtor rural PF</t>
  </si>
  <si>
    <t>Valor das operações de venda de bens, informados na NF-e</t>
  </si>
  <si>
    <t>Valor dos tributos incidentes sobre a operação (IPI, PIS, COFINS, ICMS, ISS), informados na NF-e</t>
  </si>
  <si>
    <t>Identificação do código da Nomeclatura Comum do Mercosul (NCM) do bem vendido, conforme informado na NF-e</t>
  </si>
  <si>
    <t>Massa salarial dos empregados do produtor rural PF declarados no Esocial</t>
  </si>
  <si>
    <t>Valor dos tributos arrecadados pelos produtores rurais PF, discriminados por código DARF</t>
  </si>
  <si>
    <t>Valor do preço médio de revenda do diesel divulgado pela ANP</t>
  </si>
  <si>
    <t>Segregação/Tratamento dos Dados</t>
  </si>
  <si>
    <t>Associação das regras de incidência da CBS com a tabela NCM (matriz de incidência tributária)</t>
  </si>
  <si>
    <t>Tabulação dos valor dos bens comercializados pelos produtores rurais PF, discriminado por NCM, constante da NF-e</t>
  </si>
  <si>
    <t>Estimativa do valor total da base de cálculo dos créditos a partir da despesa da atividade rural declarada na DIRPF subtraída do valor dos tributos constantes das NF-e, do valor da massa salarial declarada no Esocial, e do valor dos tributos arrecadados pelo produtor rural PF</t>
  </si>
  <si>
    <t>Estimativa do valor total da base de cálculo dos débitos a partir da receita da atividade rural declarada na DIRPF subtraída do valor dos tributos constantes das NF-e e do valor dos bens registrados em NF-e de exportação</t>
  </si>
  <si>
    <t>Tabulação dos valor dos bens adquiridos pelos produtores rurais PF, discriminado por NCM, constante da NF-e</t>
  </si>
  <si>
    <t>Distribuição das bases de cálculo dos débitos e dos créditos da CBS pelas regras de incidência da CBS, utilizando a NCM e a matriz de incidência tributária</t>
  </si>
  <si>
    <t>Estimativa de volume de combustível consumido pelo produtor rural PF pela divisão do valor em reais das NF-e de compra de combustível pelo preço médio do litro de diesel divulgado pela ANP</t>
  </si>
  <si>
    <t>Estimativa do valor do crédito de CBS pela multiplicação da alíquota ad rem da CBS de combustível pela estimativa do volume consumido em litros</t>
  </si>
  <si>
    <t>Receitas da atividade rural dos produtores com renda anual superior a R$ 3,6 milhões, declarados na DIRPF</t>
  </si>
  <si>
    <t>Notas Fiscais emitidas por empresas que venderam produtos para os produtores rurais PF</t>
  </si>
  <si>
    <t>Valor da receita da atividade rural declaradas na DIRPF</t>
  </si>
  <si>
    <t>Identificação do tipo de adquirente da produção rural (pessoa física ou pessoa jurídica)</t>
  </si>
  <si>
    <t>Estimativa da parcela das vendas do produtur rural PF pela divisão do valor dos bens vendidos para adquirente pessoa jurídica pelo valor total dos bens vendidos, registrado em NF-e</t>
  </si>
  <si>
    <t>Aplicação desse percentual sobre os dados produzidos na tabela 10.1.1</t>
  </si>
  <si>
    <t>- Carne Leão Web</t>
  </si>
  <si>
    <t>Ficha de rendimentos do trabalho não assalariado da DIRPF</t>
  </si>
  <si>
    <t>Informações das despesas discriminadas por tipo declaradas no Carne Leão Web</t>
  </si>
  <si>
    <t>Receitas do trabalho não assalariado discriminadas pela atividade do contribuinte de acordo com a ocupação principal, declaradas na DIRPF</t>
  </si>
  <si>
    <t>Despesas registradas no livro caixa discriminadas pela atividade do contribuinte de acordo com a ocupação principal, declaradas na DIRPF</t>
  </si>
  <si>
    <t>Registro das despesas, discriminado por tipo de despesa, declaradas no Carne Leão Web</t>
  </si>
  <si>
    <t>Estimativa da base de cálculo dos débitos da CBS pela distribuição dos rendimentos do trabalho não assalariado (DIRPF) de acordo com a classificação das ocupações dos contribuintes nas alíquotas incidentes de CBS sobre suas atividades</t>
  </si>
  <si>
    <t>Identificação de uma amostra representativa dos contribuintes que apresentou escrituração completa com a discriminação do tipo de despesa no Carne Leão Web</t>
  </si>
  <si>
    <t>Estimativa do percentual das despesas registradas no carne leão web que podem gerar créditos de CBS</t>
  </si>
  <si>
    <t>Estimativa da base de cálculo dos créditos pela aplicação desse percentual sobre o valor das despesas registrados na DIRPF, alocados a alíquota de referência</t>
  </si>
  <si>
    <t>- Contas Nacionais</t>
  </si>
  <si>
    <t xml:space="preserve">Tabela de Demanda das Contas Nacionais </t>
  </si>
  <si>
    <t>Valores da Demanda Final, da Demanda Total e da Exportação de Bens e Serviços da Tabela de Demanda das Contas Nacionais, discriminados por código do produto</t>
  </si>
  <si>
    <t>Estimativa do quanto a Demanda Intermediária representa da Demanda Total, discrminado por atividade, da tabela de Demanda das Contas Nacionais</t>
  </si>
  <si>
    <t>Associação das atividades da tabela de Demanda das Contas Nacionais com as ocupações da DIRPF</t>
  </si>
  <si>
    <t>Estimativa das bases de cálculo da CBS, referentes a parcela do consumo intermediário, discriminadas pelas regras de incidencia da CBS</t>
  </si>
  <si>
    <t>Tabela 10.3 BC dos Débitos</t>
  </si>
  <si>
    <t>Notas Fiscais emitidas por produtor rural PF com cadastro no CNPJ (apenas para efeito de emissão de nota fiscal)</t>
  </si>
  <si>
    <t>Notas Fiscais emitidas por empresas que venderam para produtor rural PF com cadastro no CNPJ (apenas para efeito de emissão de nota fiscal)</t>
  </si>
  <si>
    <t>Identificação das NF-e de venda emitidas pelos produtores rurais PF com cadastro no CNPJ (apenas para efeito de emissão de nota fiscal)</t>
  </si>
  <si>
    <t>Identificação das NF-e de venda emitidas por empresas em que o destinatário é produtor rural PF</t>
  </si>
  <si>
    <t>Identificação das NF-e de venda emitidas por empresas em que o destinatário é produtor rural PF com cadastro no CNPJ (apenas para efeito de emissão de nota fiscal)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</si>
</sst>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  <numFmt numFmtId="165" formatCode="@*."/>
  </numFmts>
  <fonts count="22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1"/>
      <color rgb="FF0000CC"/>
      <name val="Aptos Black"/>
      <family val="2"/>
    </font>
    <font>
      <sz val="9"/>
      <color theme="1"/>
      <name val="Aptos Narrow"/>
      <family val="2"/>
      <charset val="1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</font>
    <font>
      <b/>
      <u/>
      <sz val="14"/>
      <color theme="1"/>
      <name val="Aptos Narrow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1"/>
      <name val="Aptos Narrow"/>
      <family val="2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</font>
    <font>
      <b/>
      <u/>
      <sz val="11"/>
      <color theme="1"/>
      <name val="Aptos Narrow"/>
      <family val="2"/>
    </font>
    <font>
      <b/>
      <sz val="11"/>
      <color rgb="FFFFFF00"/>
      <name val="Aptos Narrow"/>
      <family val="2"/>
    </font>
    <font>
      <b/>
      <u/>
      <sz val="16"/>
      <color theme="1"/>
      <name val="Aptos Narrow"/>
      <family val="2"/>
    </font>
    <font>
      <sz val="8"/>
      <color theme="1"/>
      <name val="Aptos Narrow"/>
      <family val="2"/>
      <charset val="1"/>
    </font>
    <font>
      <b/>
      <u/>
      <sz val="12"/>
      <color theme="1"/>
      <name val="Aptos Black"/>
      <family val="2"/>
    </font>
    <font>
      <u/>
      <sz val="11"/>
      <color theme="1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3" fillId="0" borderId="0" applyBorder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91">
    <xf numFmtId="0" fontId="0" fillId="0" borderId="0" xfId="0"/>
    <xf numFmtId="0" fontId="4" fillId="2" borderId="0" xfId="0" applyFont="1" applyFill="1"/>
    <xf numFmtId="0" fontId="0" fillId="0" borderId="1" xfId="0" applyBorder="1"/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10" fontId="7" fillId="0" borderId="1" xfId="1" applyNumberFormat="1" applyFont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10" fontId="7" fillId="0" borderId="1" xfId="1" applyNumberFormat="1" applyFont="1" applyBorder="1" applyAlignment="1">
      <alignment horizontal="center" vertical="center"/>
    </xf>
    <xf numFmtId="164" fontId="3" fillId="2" borderId="0" xfId="1" applyNumberForma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0" fontId="6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0" fontId="6" fillId="0" borderId="1" xfId="1" applyNumberFormat="1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/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 vertical="center"/>
    </xf>
    <xf numFmtId="10" fontId="6" fillId="0" borderId="1" xfId="1" applyNumberFormat="1" applyFont="1" applyBorder="1" applyAlignment="1">
      <alignment horizontal="center" vertical="center" wrapText="1"/>
    </xf>
    <xf numFmtId="0" fontId="16" fillId="0" borderId="0" xfId="0" applyFont="1"/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10" fontId="7" fillId="0" borderId="1" xfId="1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164" fontId="7" fillId="0" borderId="1" xfId="1" applyNumberFormat="1" applyFont="1" applyBorder="1" applyAlignment="1">
      <alignment horizontal="center" vertical="center"/>
    </xf>
    <xf numFmtId="10" fontId="3" fillId="0" borderId="1" xfId="1" applyNumberFormat="1" applyBorder="1" applyAlignment="1">
      <alignment horizontal="center" vertical="center"/>
    </xf>
    <xf numFmtId="164" fontId="3" fillId="2" borderId="1" xfId="1" applyNumberFormat="1" applyFill="1" applyBorder="1" applyAlignment="1">
      <alignment horizontal="center" vertical="center"/>
    </xf>
    <xf numFmtId="10" fontId="3" fillId="0" borderId="0" xfId="1" applyNumberFormat="1" applyBorder="1" applyAlignment="1">
      <alignment horizontal="center" vertical="center"/>
    </xf>
    <xf numFmtId="164" fontId="3" fillId="2" borderId="0" xfId="1" applyNumberForma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10" fontId="1" fillId="2" borderId="0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0" fontId="17" fillId="4" borderId="1" xfId="1" applyNumberFormat="1" applyFont="1" applyFill="1" applyBorder="1" applyAlignment="1">
      <alignment horizontal="center" vertical="center"/>
    </xf>
    <xf numFmtId="165" fontId="17" fillId="4" borderId="1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10" fontId="3" fillId="2" borderId="0" xfId="1" applyNumberFormat="1" applyFill="1" applyBorder="1"/>
    <xf numFmtId="164" fontId="3" fillId="2" borderId="1" xfId="1" applyNumberForma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43" fontId="3" fillId="5" borderId="1" xfId="2" applyFill="1" applyBorder="1" applyAlignment="1">
      <alignment horizontal="center"/>
    </xf>
    <xf numFmtId="164" fontId="3" fillId="5" borderId="1" xfId="1" applyNumberFormat="1" applyFill="1" applyBorder="1" applyAlignment="1">
      <alignment horizontal="center"/>
    </xf>
    <xf numFmtId="164" fontId="3" fillId="5" borderId="1" xfId="1" applyNumberForma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1" fillId="0" borderId="1" xfId="3" applyFont="1" applyBorder="1" applyAlignment="1">
      <alignment horizontal="center" vertical="center"/>
    </xf>
    <xf numFmtId="44" fontId="1" fillId="6" borderId="1" xfId="3" applyFont="1" applyFill="1" applyBorder="1" applyAlignment="1">
      <alignment horizontal="center" vertical="center"/>
    </xf>
    <xf numFmtId="44" fontId="1" fillId="6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64" fontId="3" fillId="6" borderId="1" xfId="1" applyNumberFormat="1" applyFill="1" applyBorder="1" applyAlignment="1">
      <alignment horizontal="center" vertical="center"/>
    </xf>
    <xf numFmtId="0" fontId="6" fillId="0" borderId="0" xfId="0" quotePrefix="1" applyFont="1"/>
    <xf numFmtId="0" fontId="8" fillId="0" borderId="0" xfId="0" applyFont="1"/>
    <xf numFmtId="0" fontId="0" fillId="0" borderId="0" xfId="0" applyAlignment="1">
      <alignment horizontal="left" indent="2"/>
    </xf>
    <xf numFmtId="0" fontId="21" fillId="0" borderId="0" xfId="4" applyFill="1"/>
    <xf numFmtId="43" fontId="0" fillId="0" borderId="0" xfId="2" applyFont="1"/>
    <xf numFmtId="164" fontId="0" fillId="5" borderId="1" xfId="1" applyNumberFormat="1" applyFont="1" applyFill="1" applyBorder="1" applyAlignment="1">
      <alignment horizontal="center"/>
    </xf>
    <xf numFmtId="0" fontId="0" fillId="6" borderId="0" xfId="0" applyFill="1"/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7" fillId="0" borderId="1" xfId="1" applyNumberFormat="1" applyFont="1" applyBorder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0" fontId="7" fillId="0" borderId="1" xfId="1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</cellXfs>
  <cellStyles count="5">
    <cellStyle name="Hiperlink" xfId="4" builtinId="8"/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1%20Demandas/1.17%20Projeto%20Al&#237;quota%20de%20Refer&#234;ncia%20-%20Reforma%20Tribut&#225;ria/Calculos/SIMULADOR%20CBS_VER_22_04%20-%20em%20atualiza&#231;&#227;o.xlsx" TargetMode="External"/><Relationship Id="rId2" Type="http://schemas.openxmlformats.org/officeDocument/2006/relationships/externalLinkPath" Target="file:///M:/1%20Demandas/1.17%20Projeto%20Al&#237;quota%20de%20Refer&#234;ncia%20-%20Reforma%20Tribut&#225;ria/Calculos/SIMULADOR%20CBS_VER_22_04%20-%20em%20atualiza&#231;&#227;o.xlsx" TargetMode="External"/><Relationship Id="rId1" Type="http://schemas.openxmlformats.org/officeDocument/2006/relationships/externalLinkPath" Target="/1%20Demandas/1.17%20Projeto%20Al&#237;quota%20de%20Refer&#234;ncia%20-%20Reforma%20Tribut&#225;ria/Calculos/SIMULADOR%20CBS_VER_22_04%20-%20em%20atualiz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dia II "/>
      <sheetName val="Atualizações"/>
      <sheetName val="CONTROLE"/>
      <sheetName val="MOD_1"/>
      <sheetName val="MOD_2"/>
      <sheetName val="MOD_3"/>
      <sheetName val="MOD_4"/>
      <sheetName val="MOD_5"/>
      <sheetName val="MOD_6"/>
      <sheetName val="MOD_7"/>
      <sheetName val="MOD_8"/>
      <sheetName val="MOD_9"/>
      <sheetName val="MOD_10"/>
      <sheetName val="MOD_11"/>
      <sheetName val="MOD_12"/>
      <sheetName val="MOD_13"/>
      <sheetName val="MOD_14"/>
      <sheetName val="MOD_15"/>
      <sheetName val="MOD_16"/>
      <sheetName val="MOD_17"/>
    </sheetNames>
    <sheetDataSet>
      <sheetData sheetId="0" refreshError="1"/>
      <sheetData sheetId="1" refreshError="1"/>
      <sheetData sheetId="2">
        <row r="7">
          <cell r="E7">
            <v>8.5000000000000006E-2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anp/pt-br/assuntos/precos-e-defesa-da-concorrencia/precos/precos-revenda-e-de-distribuicao-combustiveis/serie-historica-do-levantamento-de-prec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67DF-9A6C-4A53-8E1E-17CC5CDAE45F}">
  <dimension ref="B1:K97"/>
  <sheetViews>
    <sheetView showGridLines="0" tabSelected="1" zoomScale="110" zoomScaleNormal="110" workbookViewId="0">
      <selection activeCell="J12" sqref="J12"/>
    </sheetView>
  </sheetViews>
  <sheetFormatPr baseColWidth="10" defaultColWidth="9.1640625" defaultRowHeight="15" x14ac:dyDescent="0.2"/>
  <cols>
    <col min="1" max="1" width="9.1640625" style="31"/>
    <col min="2" max="2" width="73.5" style="31" customWidth="1"/>
    <col min="3" max="3" width="12" style="31" bestFit="1" customWidth="1"/>
    <col min="4" max="7" width="19" style="31" customWidth="1"/>
    <col min="8" max="11" width="18.1640625" style="31" customWidth="1"/>
    <col min="12" max="16384" width="9.1640625" style="31"/>
  </cols>
  <sheetData>
    <row r="1" spans="2:9" x14ac:dyDescent="0.2">
      <c r="B1" s="30" t="s">
        <v>0</v>
      </c>
    </row>
    <row r="3" spans="2:9" ht="27.75" customHeight="1" x14ac:dyDescent="0.2">
      <c r="B3" s="51" t="s">
        <v>24</v>
      </c>
      <c r="C3" s="50">
        <f>[1]CONTROLE!$E$7</f>
        <v>8.5000000000000006E-2</v>
      </c>
    </row>
    <row r="4" spans="2:9" ht="27" customHeight="1" x14ac:dyDescent="0.2"/>
    <row r="5" spans="2:9" ht="16" x14ac:dyDescent="0.2">
      <c r="B5" s="81" t="s">
        <v>29</v>
      </c>
      <c r="C5" s="81"/>
      <c r="D5" s="81"/>
      <c r="E5" s="81"/>
      <c r="F5" s="81"/>
      <c r="G5" s="81"/>
      <c r="H5" s="81"/>
      <c r="I5"/>
    </row>
    <row r="6" spans="2:9" x14ac:dyDescent="0.2">
      <c r="B6"/>
      <c r="C6" s="54"/>
      <c r="D6"/>
      <c r="E6"/>
      <c r="F6"/>
      <c r="G6"/>
      <c r="I6"/>
    </row>
    <row r="7" spans="2:9" x14ac:dyDescent="0.2">
      <c r="B7" s="26" t="s">
        <v>30</v>
      </c>
      <c r="C7" s="54"/>
      <c r="D7"/>
      <c r="E7"/>
      <c r="F7"/>
      <c r="G7"/>
      <c r="H7" s="3" t="s">
        <v>1</v>
      </c>
      <c r="I7"/>
    </row>
    <row r="8" spans="2:9" x14ac:dyDescent="0.2">
      <c r="B8"/>
      <c r="C8" s="84">
        <v>2023</v>
      </c>
      <c r="D8" s="84"/>
      <c r="E8" s="84"/>
      <c r="F8" s="84">
        <v>2024</v>
      </c>
      <c r="G8" s="84"/>
      <c r="H8" s="84"/>
      <c r="I8"/>
    </row>
    <row r="9" spans="2:9" ht="32" x14ac:dyDescent="0.2">
      <c r="B9" s="4" t="s">
        <v>31</v>
      </c>
      <c r="C9" s="29" t="s">
        <v>2</v>
      </c>
      <c r="D9" s="29" t="s">
        <v>3</v>
      </c>
      <c r="E9" s="29" t="s">
        <v>32</v>
      </c>
      <c r="F9" s="29" t="s">
        <v>2</v>
      </c>
      <c r="G9" s="29" t="s">
        <v>3</v>
      </c>
      <c r="H9" s="29" t="s">
        <v>32</v>
      </c>
      <c r="I9"/>
    </row>
    <row r="10" spans="2:9" x14ac:dyDescent="0.2">
      <c r="B10" s="42" t="s">
        <v>33</v>
      </c>
      <c r="C10" s="55">
        <f>E20</f>
        <v>15.742279502616977</v>
      </c>
      <c r="D10" s="55">
        <f>F51</f>
        <v>23.209398237378441</v>
      </c>
      <c r="E10" s="55">
        <f>C10-D10</f>
        <v>-7.4671187347614634</v>
      </c>
      <c r="F10" s="55">
        <f>G20</f>
        <v>15.100023924302631</v>
      </c>
      <c r="G10" s="55">
        <f>F64</f>
        <v>21.856826613678155</v>
      </c>
      <c r="H10" s="55">
        <f>F10-G10</f>
        <v>-6.7568026893755242</v>
      </c>
      <c r="I10"/>
    </row>
    <row r="11" spans="2:9" x14ac:dyDescent="0.2">
      <c r="B11" s="42" t="s">
        <v>36</v>
      </c>
      <c r="C11" s="55">
        <f>E45</f>
        <v>4.3137172082960946</v>
      </c>
      <c r="D11" s="55">
        <f>G51</f>
        <v>0.78661798971126673</v>
      </c>
      <c r="E11" s="55">
        <f>C11-D11</f>
        <v>3.5270992185848278</v>
      </c>
      <c r="F11" s="55">
        <f>G45</f>
        <v>4.7927644107279885</v>
      </c>
      <c r="G11" s="55">
        <f>G64</f>
        <v>0.85358752575358898</v>
      </c>
      <c r="H11" s="55">
        <f>F11-G11</f>
        <v>3.9391768849743993</v>
      </c>
      <c r="I11"/>
    </row>
    <row r="14" spans="2:9" x14ac:dyDescent="0.2">
      <c r="B14" s="5"/>
    </row>
    <row r="15" spans="2:9" ht="19" x14ac:dyDescent="0.2">
      <c r="B15" s="52" t="s">
        <v>4</v>
      </c>
      <c r="C15" s="52"/>
      <c r="D15" s="52"/>
      <c r="E15" s="52"/>
      <c r="F15" s="52"/>
      <c r="G15" s="52"/>
      <c r="H15" s="52"/>
      <c r="I15" s="52"/>
    </row>
    <row r="16" spans="2:9" x14ac:dyDescent="0.2">
      <c r="G16" s="32" t="s">
        <v>1</v>
      </c>
    </row>
    <row r="17" spans="2:7" x14ac:dyDescent="0.2">
      <c r="D17" s="82">
        <v>2023</v>
      </c>
      <c r="E17" s="82"/>
      <c r="F17" s="82">
        <v>2024</v>
      </c>
      <c r="G17" s="82"/>
    </row>
    <row r="18" spans="2:7" s="33" customFormat="1" x14ac:dyDescent="0.2">
      <c r="B18" s="83" t="s">
        <v>5</v>
      </c>
      <c r="C18" s="80" t="s">
        <v>6</v>
      </c>
      <c r="D18" s="80" t="s">
        <v>7</v>
      </c>
      <c r="E18" s="80" t="s">
        <v>2</v>
      </c>
      <c r="F18" s="80" t="s">
        <v>7</v>
      </c>
      <c r="G18" s="80" t="s">
        <v>2</v>
      </c>
    </row>
    <row r="19" spans="2:7" s="33" customFormat="1" x14ac:dyDescent="0.2">
      <c r="B19" s="83"/>
      <c r="C19" s="80"/>
      <c r="D19" s="80"/>
      <c r="E19" s="80"/>
      <c r="F19" s="80"/>
      <c r="G19" s="80"/>
    </row>
    <row r="20" spans="2:7" x14ac:dyDescent="0.2">
      <c r="B20" s="6" t="s">
        <v>8</v>
      </c>
      <c r="C20" s="12"/>
      <c r="D20" s="12"/>
      <c r="E20" s="34">
        <f>SUM(E21:E31)</f>
        <v>15.742279502616977</v>
      </c>
      <c r="F20" s="12"/>
      <c r="G20" s="34">
        <f>SUM(G21:G31)</f>
        <v>15.100023924302631</v>
      </c>
    </row>
    <row r="21" spans="2:7" x14ac:dyDescent="0.2">
      <c r="B21" s="8" t="s">
        <v>37</v>
      </c>
      <c r="C21" s="35">
        <f>$C$3*(1-100%)</f>
        <v>0</v>
      </c>
      <c r="D21" s="62">
        <f>AUX_MOD_10.1!C12</f>
        <v>20.087341768131431</v>
      </c>
      <c r="E21" s="36">
        <f>C21*D21</f>
        <v>0</v>
      </c>
      <c r="F21" s="62">
        <f>AUX_MOD_10.1!D12</f>
        <v>25.706661484599461</v>
      </c>
      <c r="G21" s="36">
        <f>C21*F21</f>
        <v>0</v>
      </c>
    </row>
    <row r="22" spans="2:7" x14ac:dyDescent="0.2">
      <c r="B22" s="9" t="s">
        <v>47</v>
      </c>
      <c r="C22" s="35">
        <f t="shared" ref="C22:C24" si="0">$C$3*(1-100%)</f>
        <v>0</v>
      </c>
      <c r="D22" s="62">
        <f>AUX_MOD_10.1!C13</f>
        <v>6.2883361990016054E-3</v>
      </c>
      <c r="E22" s="36">
        <f t="shared" ref="E22:E31" si="1">C22*D22</f>
        <v>0</v>
      </c>
      <c r="F22" s="62">
        <f>AUX_MOD_10.1!D13</f>
        <v>1.692109688669586E-3</v>
      </c>
      <c r="G22" s="36">
        <f t="shared" ref="G22:G31" si="2">C22*F22</f>
        <v>0</v>
      </c>
    </row>
    <row r="23" spans="2:7" x14ac:dyDescent="0.2">
      <c r="B23" s="9" t="s">
        <v>38</v>
      </c>
      <c r="C23" s="35">
        <f t="shared" si="0"/>
        <v>0</v>
      </c>
      <c r="D23" s="62">
        <f>AUX_MOD_10.1!C14</f>
        <v>30.836087204813868</v>
      </c>
      <c r="E23" s="36">
        <f t="shared" si="1"/>
        <v>0</v>
      </c>
      <c r="F23" s="62">
        <f>AUX_MOD_10.1!D14</f>
        <v>36.450297635640389</v>
      </c>
      <c r="G23" s="36">
        <f t="shared" si="2"/>
        <v>0</v>
      </c>
    </row>
    <row r="24" spans="2:7" x14ac:dyDescent="0.2">
      <c r="B24" s="9" t="s">
        <v>48</v>
      </c>
      <c r="C24" s="35">
        <f t="shared" si="0"/>
        <v>0</v>
      </c>
      <c r="D24" s="62">
        <f>AUX_MOD_10.1!C15</f>
        <v>0.63798558444397357</v>
      </c>
      <c r="E24" s="36">
        <f t="shared" si="1"/>
        <v>0</v>
      </c>
      <c r="F24" s="62">
        <f>AUX_MOD_10.1!D15</f>
        <v>0.4644372595346567</v>
      </c>
      <c r="G24" s="36">
        <f t="shared" si="2"/>
        <v>0</v>
      </c>
    </row>
    <row r="25" spans="2:7" x14ac:dyDescent="0.2">
      <c r="B25" s="9" t="s">
        <v>39</v>
      </c>
      <c r="C25" s="35">
        <f t="shared" ref="C25:C30" si="3">$C$3*(1-60%)</f>
        <v>3.4000000000000002E-2</v>
      </c>
      <c r="D25" s="62">
        <f>AUX_MOD_10.1!C16</f>
        <v>72.868657609393807</v>
      </c>
      <c r="E25" s="36">
        <f t="shared" si="1"/>
        <v>2.4775343587193897</v>
      </c>
      <c r="F25" s="62">
        <f>AUX_MOD_10.1!D16</f>
        <v>59.656791744784911</v>
      </c>
      <c r="G25" s="36">
        <f t="shared" si="2"/>
        <v>2.0283309193226873</v>
      </c>
    </row>
    <row r="26" spans="2:7" x14ac:dyDescent="0.2">
      <c r="B26" s="9" t="s">
        <v>51</v>
      </c>
      <c r="C26" s="35">
        <f t="shared" si="3"/>
        <v>3.4000000000000002E-2</v>
      </c>
      <c r="D26" s="62">
        <f>AUX_MOD_10.1!C17</f>
        <v>0</v>
      </c>
      <c r="E26" s="36">
        <f t="shared" ref="E26" si="4">C26*D26</f>
        <v>0</v>
      </c>
      <c r="F26" s="62">
        <f>AUX_MOD_10.1!D17</f>
        <v>8.9859049693113131E-5</v>
      </c>
      <c r="G26" s="36">
        <f t="shared" si="2"/>
        <v>3.0552076895658466E-6</v>
      </c>
    </row>
    <row r="27" spans="2:7" x14ac:dyDescent="0.2">
      <c r="B27" s="9" t="s">
        <v>49</v>
      </c>
      <c r="C27" s="35">
        <f t="shared" si="3"/>
        <v>3.4000000000000002E-2</v>
      </c>
      <c r="D27" s="62">
        <f>AUX_MOD_10.1!C18</f>
        <v>6.8064939640533203E-4</v>
      </c>
      <c r="E27" s="36">
        <f t="shared" si="1"/>
        <v>2.314207947778129E-5</v>
      </c>
      <c r="F27" s="62">
        <f>AUX_MOD_10.1!D18</f>
        <v>1.8774171508804678E-2</v>
      </c>
      <c r="G27" s="36">
        <f t="shared" si="2"/>
        <v>6.3832183129935906E-4</v>
      </c>
    </row>
    <row r="28" spans="2:7" x14ac:dyDescent="0.2">
      <c r="B28" s="9" t="s">
        <v>40</v>
      </c>
      <c r="C28" s="35">
        <f t="shared" si="3"/>
        <v>3.4000000000000002E-2</v>
      </c>
      <c r="D28" s="62">
        <f>AUX_MOD_10.1!C19</f>
        <v>213.368614451513</v>
      </c>
      <c r="E28" s="36">
        <f t="shared" si="1"/>
        <v>7.2545328913514426</v>
      </c>
      <c r="F28" s="62">
        <f>AUX_MOD_10.1!D19</f>
        <v>200.52222571746123</v>
      </c>
      <c r="G28" s="36">
        <f t="shared" si="2"/>
        <v>6.8177556743936822</v>
      </c>
    </row>
    <row r="29" spans="2:7" x14ac:dyDescent="0.2">
      <c r="B29" s="9" t="s">
        <v>50</v>
      </c>
      <c r="C29" s="35">
        <f t="shared" si="3"/>
        <v>3.4000000000000002E-2</v>
      </c>
      <c r="D29" s="62">
        <f>AUX_MOD_10.1!C20</f>
        <v>2.09171319772404E-4</v>
      </c>
      <c r="E29" s="36">
        <f t="shared" si="1"/>
        <v>7.1118248722617364E-6</v>
      </c>
      <c r="F29" s="62">
        <f>AUX_MOD_10.1!D20</f>
        <v>1.286389441255686E-3</v>
      </c>
      <c r="G29" s="36">
        <f t="shared" si="2"/>
        <v>4.3737241002693332E-5</v>
      </c>
    </row>
    <row r="30" spans="2:7" x14ac:dyDescent="0.2">
      <c r="B30" s="9" t="s">
        <v>41</v>
      </c>
      <c r="C30" s="35">
        <f t="shared" si="3"/>
        <v>3.4000000000000002E-2</v>
      </c>
      <c r="D30" s="62">
        <f>AUX_MOD_10.1!C21</f>
        <v>165.7395368999311</v>
      </c>
      <c r="E30" s="36">
        <f t="shared" si="1"/>
        <v>5.635144254597658</v>
      </c>
      <c r="F30" s="62">
        <f>AUX_MOD_10.1!D21</f>
        <v>173.336667095336</v>
      </c>
      <c r="G30" s="36">
        <f t="shared" si="2"/>
        <v>5.8934466812414241</v>
      </c>
    </row>
    <row r="31" spans="2:7" x14ac:dyDescent="0.2">
      <c r="B31" s="9" t="s">
        <v>42</v>
      </c>
      <c r="C31" s="35">
        <f>$C$3</f>
        <v>8.5000000000000006E-2</v>
      </c>
      <c r="D31" s="62">
        <f>AUX_MOD_10.1!C22</f>
        <v>4.4122087534604191</v>
      </c>
      <c r="E31" s="36">
        <f t="shared" si="1"/>
        <v>0.37503774404413565</v>
      </c>
      <c r="F31" s="62">
        <f>AUX_MOD_10.1!D22</f>
        <v>4.2330062948805445</v>
      </c>
      <c r="G31" s="36">
        <f t="shared" si="2"/>
        <v>0.3598055350648463</v>
      </c>
    </row>
    <row r="32" spans="2:7" x14ac:dyDescent="0.2">
      <c r="B32" s="53"/>
      <c r="C32" s="37"/>
    </row>
    <row r="33" spans="2:9" x14ac:dyDescent="0.2">
      <c r="B33" s="53"/>
      <c r="C33" s="37"/>
    </row>
    <row r="34" spans="2:9" ht="19" x14ac:dyDescent="0.2">
      <c r="B34" s="52" t="s">
        <v>36</v>
      </c>
      <c r="C34" s="52"/>
      <c r="D34" s="52"/>
      <c r="E34" s="52"/>
      <c r="F34" s="52"/>
      <c r="G34" s="52"/>
      <c r="H34" s="52"/>
      <c r="I34" s="52"/>
    </row>
    <row r="35" spans="2:9" ht="19" x14ac:dyDescent="0.2">
      <c r="C35" s="11"/>
      <c r="G35" s="32" t="s">
        <v>1</v>
      </c>
      <c r="H35" s="11"/>
      <c r="I35" s="11"/>
    </row>
    <row r="36" spans="2:9" ht="19" x14ac:dyDescent="0.2">
      <c r="B36" s="11"/>
      <c r="C36" s="11"/>
      <c r="D36" s="82">
        <v>2023</v>
      </c>
      <c r="E36" s="82"/>
      <c r="F36" s="82">
        <v>2024</v>
      </c>
      <c r="G36" s="82"/>
      <c r="H36" s="11"/>
      <c r="I36" s="11"/>
    </row>
    <row r="37" spans="2:9" ht="14.5" customHeight="1" x14ac:dyDescent="0.2">
      <c r="B37" s="83" t="s">
        <v>5</v>
      </c>
      <c r="C37" s="86" t="s">
        <v>6</v>
      </c>
      <c r="D37" s="80" t="s">
        <v>9</v>
      </c>
      <c r="E37" s="80" t="s">
        <v>2</v>
      </c>
      <c r="F37" s="80" t="s">
        <v>9</v>
      </c>
      <c r="G37" s="80" t="s">
        <v>2</v>
      </c>
    </row>
    <row r="38" spans="2:9" x14ac:dyDescent="0.2">
      <c r="B38" s="83"/>
      <c r="C38" s="86"/>
      <c r="D38" s="80"/>
      <c r="E38" s="80"/>
      <c r="F38" s="80"/>
      <c r="G38" s="80"/>
    </row>
    <row r="39" spans="2:9" x14ac:dyDescent="0.2">
      <c r="B39" s="9" t="s">
        <v>54</v>
      </c>
      <c r="C39" s="35">
        <f>$C$3</f>
        <v>8.5000000000000006E-2</v>
      </c>
      <c r="D39" s="62">
        <f>AUX_MOD_10.2!C8</f>
        <v>15.368780816471526</v>
      </c>
      <c r="E39" s="36">
        <f>C39*D39</f>
        <v>1.3063463694000799</v>
      </c>
      <c r="F39" s="62">
        <f>AUX_MOD_10.2!D8</f>
        <v>16.56159308054097</v>
      </c>
      <c r="G39" s="36">
        <f>C39*F39</f>
        <v>1.4077354118459826</v>
      </c>
    </row>
    <row r="40" spans="2:9" x14ac:dyDescent="0.2">
      <c r="B40" s="9" t="s">
        <v>55</v>
      </c>
      <c r="C40" s="35">
        <f>$C$3</f>
        <v>8.5000000000000006E-2</v>
      </c>
      <c r="D40" s="62">
        <f>AUX_MOD_10.2!C9</f>
        <v>24.278582199870414</v>
      </c>
      <c r="E40" s="36">
        <f t="shared" ref="E40:E44" si="5">C40*D40</f>
        <v>2.0636794869889852</v>
      </c>
      <c r="F40" s="62">
        <f>AUX_MOD_10.2!D9</f>
        <v>28.075560143201034</v>
      </c>
      <c r="G40" s="36">
        <f t="shared" ref="G40:G44" si="6">C40*F40</f>
        <v>2.3864226121720882</v>
      </c>
    </row>
    <row r="41" spans="2:9" x14ac:dyDescent="0.2">
      <c r="B41" s="9" t="s">
        <v>35</v>
      </c>
      <c r="C41" s="35">
        <f>$C$3*(1-30%)</f>
        <v>5.9499999999999997E-2</v>
      </c>
      <c r="D41" s="62">
        <f>AUX_MOD_10.2!C10</f>
        <v>4.3292555219624864</v>
      </c>
      <c r="E41" s="36">
        <f t="shared" si="5"/>
        <v>0.25759070355676794</v>
      </c>
      <c r="F41" s="62">
        <f>AUX_MOD_10.2!D10</f>
        <v>4.7323869823094782</v>
      </c>
      <c r="G41" s="36">
        <f t="shared" si="6"/>
        <v>0.28157702544741392</v>
      </c>
    </row>
    <row r="42" spans="2:9" x14ac:dyDescent="0.2">
      <c r="B42" s="9" t="s">
        <v>56</v>
      </c>
      <c r="C42" s="35">
        <f>$C$3*(1-60%)</f>
        <v>3.4000000000000002E-2</v>
      </c>
      <c r="D42" s="62">
        <f>AUX_MOD_10.2!C11</f>
        <v>19.474973099284018</v>
      </c>
      <c r="E42" s="36">
        <f t="shared" si="5"/>
        <v>0.66214908537565664</v>
      </c>
      <c r="F42" s="62">
        <f>AUX_MOD_10.2!D11</f>
        <v>20.354266850826505</v>
      </c>
      <c r="G42" s="36">
        <f t="shared" si="6"/>
        <v>0.69204507292810125</v>
      </c>
    </row>
    <row r="43" spans="2:9" x14ac:dyDescent="0.2">
      <c r="B43" s="9" t="s">
        <v>57</v>
      </c>
      <c r="C43" s="35">
        <f t="shared" ref="C43:C44" si="7">$C$3*(1-60%)</f>
        <v>3.4000000000000002E-2</v>
      </c>
      <c r="D43" s="62">
        <f>AUX_MOD_10.2!C12</f>
        <v>0.22216156956218405</v>
      </c>
      <c r="E43" s="36">
        <f t="shared" si="5"/>
        <v>7.5534933651142579E-3</v>
      </c>
      <c r="F43" s="62">
        <f>AUX_MOD_10.2!D12</f>
        <v>0.22819327989729149</v>
      </c>
      <c r="G43" s="36">
        <f t="shared" si="6"/>
        <v>7.7585715165079108E-3</v>
      </c>
    </row>
    <row r="44" spans="2:9" x14ac:dyDescent="0.2">
      <c r="B44" s="9" t="s">
        <v>58</v>
      </c>
      <c r="C44" s="35">
        <f t="shared" si="7"/>
        <v>3.4000000000000002E-2</v>
      </c>
      <c r="D44" s="62">
        <f>AUX_MOD_10.2!C13</f>
        <v>0.48229616498500655</v>
      </c>
      <c r="E44" s="36">
        <f t="shared" si="5"/>
        <v>1.6398069609490223E-2</v>
      </c>
      <c r="F44" s="62">
        <f>AUX_MOD_10.2!D13</f>
        <v>0.50663872993809256</v>
      </c>
      <c r="G44" s="36">
        <f t="shared" si="6"/>
        <v>1.7225716817895149E-2</v>
      </c>
    </row>
    <row r="45" spans="2:9" customFormat="1" x14ac:dyDescent="0.2">
      <c r="B45" s="39" t="s">
        <v>13</v>
      </c>
      <c r="C45" s="2"/>
      <c r="D45" s="2"/>
      <c r="E45" s="56">
        <f>SUM(E39:E44)</f>
        <v>4.3137172082960946</v>
      </c>
      <c r="F45" s="2"/>
      <c r="G45" s="56">
        <f>SUM(G39:G44)</f>
        <v>4.7927644107279885</v>
      </c>
    </row>
    <row r="46" spans="2:9" customFormat="1" x14ac:dyDescent="0.2"/>
    <row r="47" spans="2:9" x14ac:dyDescent="0.2">
      <c r="B47" s="5"/>
      <c r="C47" s="37"/>
      <c r="D47" s="38"/>
      <c r="E47" s="38"/>
      <c r="F47" s="38"/>
      <c r="G47" s="32" t="s">
        <v>1</v>
      </c>
    </row>
    <row r="48" spans="2:9" ht="19" x14ac:dyDescent="0.2">
      <c r="D48" s="87">
        <v>2023</v>
      </c>
      <c r="E48" s="88"/>
      <c r="F48" s="88"/>
      <c r="G48" s="89"/>
    </row>
    <row r="49" spans="2:11" x14ac:dyDescent="0.2">
      <c r="B49" s="27"/>
      <c r="D49" s="78" t="s">
        <v>10</v>
      </c>
      <c r="E49" s="79"/>
      <c r="F49" s="78" t="s">
        <v>3</v>
      </c>
      <c r="G49" s="79"/>
    </row>
    <row r="50" spans="2:11" ht="64" x14ac:dyDescent="0.2">
      <c r="B50" s="14" t="s">
        <v>11</v>
      </c>
      <c r="C50" s="15" t="s">
        <v>6</v>
      </c>
      <c r="D50" s="16" t="s">
        <v>12</v>
      </c>
      <c r="E50" s="16" t="s">
        <v>36</v>
      </c>
      <c r="F50" s="16" t="s">
        <v>12</v>
      </c>
      <c r="G50" s="16" t="s">
        <v>36</v>
      </c>
    </row>
    <row r="51" spans="2:11" x14ac:dyDescent="0.2">
      <c r="B51" s="39" t="s">
        <v>13</v>
      </c>
      <c r="C51" s="18"/>
      <c r="D51" s="39"/>
      <c r="E51" s="39"/>
      <c r="F51" s="40">
        <f>SUM(F52:F58)</f>
        <v>23.209398237378441</v>
      </c>
      <c r="G51" s="40">
        <f>SUM(G52:G58)</f>
        <v>0.78661798971126673</v>
      </c>
    </row>
    <row r="52" spans="2:11" ht="16" x14ac:dyDescent="0.2">
      <c r="B52" s="19" t="s">
        <v>37</v>
      </c>
      <c r="C52" s="41">
        <f>$C$3*(1-100%)</f>
        <v>0</v>
      </c>
      <c r="D52" s="62">
        <f>AUX_MOD_10.1!C28</f>
        <v>1.828982022424505</v>
      </c>
      <c r="E52" s="62">
        <f>AUX_MOD_10.2!C19</f>
        <v>0</v>
      </c>
      <c r="F52" s="36">
        <f t="shared" ref="F52:F57" si="8">D52*C52</f>
        <v>0</v>
      </c>
      <c r="G52" s="36">
        <f t="shared" ref="G52:G57" si="9">E52*C52</f>
        <v>0</v>
      </c>
    </row>
    <row r="53" spans="2:11" x14ac:dyDescent="0.2">
      <c r="B53" s="20" t="s">
        <v>38</v>
      </c>
      <c r="C53" s="41">
        <f>$C$3*(1-100%)</f>
        <v>0</v>
      </c>
      <c r="D53" s="62">
        <f>AUX_MOD_10.1!C29</f>
        <v>1.8881865190396558</v>
      </c>
      <c r="E53" s="62">
        <f>AUX_MOD_10.2!C20</f>
        <v>0</v>
      </c>
      <c r="F53" s="36">
        <f t="shared" si="8"/>
        <v>0</v>
      </c>
      <c r="G53" s="36">
        <f t="shared" si="9"/>
        <v>0</v>
      </c>
    </row>
    <row r="54" spans="2:11" x14ac:dyDescent="0.2">
      <c r="B54" s="20" t="s">
        <v>39</v>
      </c>
      <c r="C54" s="41">
        <f>$C$3*(1-60%)</f>
        <v>3.4000000000000002E-2</v>
      </c>
      <c r="D54" s="62">
        <f>AUX_MOD_10.1!C30</f>
        <v>13.31161471648705</v>
      </c>
      <c r="E54" s="62">
        <f>AUX_MOD_10.2!C21</f>
        <v>0</v>
      </c>
      <c r="F54" s="36">
        <f t="shared" si="8"/>
        <v>0.45259490036055972</v>
      </c>
      <c r="G54" s="36">
        <f t="shared" si="9"/>
        <v>0</v>
      </c>
    </row>
    <row r="55" spans="2:11" x14ac:dyDescent="0.2">
      <c r="B55" s="20" t="s">
        <v>40</v>
      </c>
      <c r="C55" s="41">
        <f>$C$3*(1-60%)</f>
        <v>3.4000000000000002E-2</v>
      </c>
      <c r="D55" s="62">
        <f>AUX_MOD_10.1!C31</f>
        <v>279.9197388108629</v>
      </c>
      <c r="E55" s="62">
        <f>AUX_MOD_10.2!C22</f>
        <v>0</v>
      </c>
      <c r="F55" s="36">
        <f t="shared" si="8"/>
        <v>9.5172711195693385</v>
      </c>
      <c r="G55" s="36">
        <f t="shared" si="9"/>
        <v>0</v>
      </c>
    </row>
    <row r="56" spans="2:11" x14ac:dyDescent="0.2">
      <c r="B56" s="20" t="s">
        <v>41</v>
      </c>
      <c r="C56" s="41">
        <f>$C$3*(1-60%)</f>
        <v>3.4000000000000002E-2</v>
      </c>
      <c r="D56" s="62">
        <f>AUX_MOD_10.1!C32</f>
        <v>52.627882425633636</v>
      </c>
      <c r="E56" s="62">
        <f>AUX_MOD_10.2!C23</f>
        <v>0</v>
      </c>
      <c r="F56" s="36">
        <f t="shared" si="8"/>
        <v>1.7893480024715438</v>
      </c>
      <c r="G56" s="36">
        <f t="shared" si="9"/>
        <v>0</v>
      </c>
    </row>
    <row r="57" spans="2:11" x14ac:dyDescent="0.2">
      <c r="B57" s="42" t="s">
        <v>42</v>
      </c>
      <c r="C57" s="41">
        <f>$C$3</f>
        <v>8.5000000000000006E-2</v>
      </c>
      <c r="D57" s="62">
        <f>AUX_MOD_10.1!C33</f>
        <v>116.98362595348939</v>
      </c>
      <c r="E57" s="62">
        <f>AUX_MOD_10.2!C24</f>
        <v>9.2543292907207846</v>
      </c>
      <c r="F57" s="36">
        <f t="shared" si="8"/>
        <v>9.9436082060465996</v>
      </c>
      <c r="G57" s="36">
        <f t="shared" si="9"/>
        <v>0.78661798971126673</v>
      </c>
    </row>
    <row r="58" spans="2:11" x14ac:dyDescent="0.2">
      <c r="B58" s="42" t="s">
        <v>60</v>
      </c>
      <c r="C58" s="67">
        <f>(62.61+288.89)/1000</f>
        <v>0.35149999999999998</v>
      </c>
      <c r="D58" s="62">
        <f>AUX_MOD_10.1!C34</f>
        <v>24.85957568078609</v>
      </c>
      <c r="E58" s="62">
        <f>AUX_MOD_10.2!C25</f>
        <v>0</v>
      </c>
      <c r="F58" s="70">
        <f>D58/C59*C58</f>
        <v>1.5065760089303983</v>
      </c>
      <c r="G58" s="70">
        <f>E58/C59*C58</f>
        <v>0</v>
      </c>
    </row>
    <row r="59" spans="2:11" s="43" customFormat="1" x14ac:dyDescent="0.2">
      <c r="B59" s="42" t="s">
        <v>61</v>
      </c>
      <c r="C59" s="66">
        <v>5.8</v>
      </c>
      <c r="D59"/>
      <c r="E59"/>
      <c r="F59" s="69"/>
      <c r="G59"/>
      <c r="H59" s="38"/>
      <c r="I59" s="38"/>
      <c r="J59" s="38"/>
      <c r="K59" s="38"/>
    </row>
    <row r="60" spans="2:11" s="43" customFormat="1" x14ac:dyDescent="0.2">
      <c r="C60" s="44"/>
      <c r="D60" s="38"/>
      <c r="E60" s="38"/>
      <c r="F60" s="38"/>
      <c r="G60" s="32" t="s">
        <v>1</v>
      </c>
      <c r="H60" s="38"/>
      <c r="I60" s="38"/>
      <c r="J60" s="38"/>
      <c r="K60" s="38"/>
    </row>
    <row r="61" spans="2:11" s="43" customFormat="1" ht="19" x14ac:dyDescent="0.2">
      <c r="B61" s="31"/>
      <c r="C61" s="31"/>
      <c r="D61" s="87">
        <v>2024</v>
      </c>
      <c r="E61" s="88"/>
      <c r="F61" s="88"/>
      <c r="G61" s="89"/>
      <c r="H61" s="38"/>
      <c r="I61" s="38"/>
      <c r="J61" s="38"/>
      <c r="K61" s="38"/>
    </row>
    <row r="62" spans="2:11" s="43" customFormat="1" x14ac:dyDescent="0.2">
      <c r="B62" s="27"/>
      <c r="C62" s="31"/>
      <c r="D62" s="78" t="s">
        <v>10</v>
      </c>
      <c r="E62" s="79"/>
      <c r="F62" s="78" t="s">
        <v>3</v>
      </c>
      <c r="G62" s="79"/>
      <c r="H62" s="38"/>
      <c r="I62" s="38"/>
      <c r="J62" s="38"/>
      <c r="K62" s="38"/>
    </row>
    <row r="63" spans="2:11" s="43" customFormat="1" ht="64" x14ac:dyDescent="0.2">
      <c r="B63" s="14" t="s">
        <v>11</v>
      </c>
      <c r="C63" s="15" t="s">
        <v>6</v>
      </c>
      <c r="D63" s="16" t="s">
        <v>12</v>
      </c>
      <c r="E63" s="16" t="s">
        <v>36</v>
      </c>
      <c r="F63" s="16" t="s">
        <v>12</v>
      </c>
      <c r="G63" s="16" t="s">
        <v>36</v>
      </c>
      <c r="H63" s="38"/>
      <c r="I63" s="38"/>
      <c r="J63" s="38"/>
      <c r="K63" s="38"/>
    </row>
    <row r="64" spans="2:11" s="43" customFormat="1" x14ac:dyDescent="0.2">
      <c r="B64" s="39" t="s">
        <v>13</v>
      </c>
      <c r="C64" s="18"/>
      <c r="D64" s="39"/>
      <c r="E64" s="39"/>
      <c r="F64" s="40">
        <f>SUM(F65:F71)</f>
        <v>21.856826613678155</v>
      </c>
      <c r="G64" s="40">
        <f>SUM(G65:G71)</f>
        <v>0.85358752575358898</v>
      </c>
      <c r="H64" s="38"/>
      <c r="I64" s="38"/>
      <c r="J64" s="38"/>
      <c r="K64" s="38"/>
    </row>
    <row r="65" spans="2:11" s="43" customFormat="1" ht="16" x14ac:dyDescent="0.2">
      <c r="B65" s="19" t="s">
        <v>37</v>
      </c>
      <c r="C65" s="41">
        <f>$C$3*(1-100%)</f>
        <v>0</v>
      </c>
      <c r="D65" s="62">
        <f>AUX_MOD_10.1!D28</f>
        <v>2.043708903014986</v>
      </c>
      <c r="E65" s="62">
        <f>AUX_MOD_10.2!D19</f>
        <v>0</v>
      </c>
      <c r="F65" s="36">
        <f t="shared" ref="F65:F70" si="10">D65*C65</f>
        <v>0</v>
      </c>
      <c r="G65" s="36">
        <f t="shared" ref="G65:G70" si="11">E65*C65</f>
        <v>0</v>
      </c>
      <c r="H65" s="38"/>
      <c r="I65" s="38"/>
      <c r="J65" s="38"/>
      <c r="K65" s="38"/>
    </row>
    <row r="66" spans="2:11" s="43" customFormat="1" x14ac:dyDescent="0.2">
      <c r="B66" s="20" t="s">
        <v>38</v>
      </c>
      <c r="C66" s="41">
        <f>$C$3*(1-100%)</f>
        <v>0</v>
      </c>
      <c r="D66" s="62">
        <f>AUX_MOD_10.1!D29</f>
        <v>2.7161207044117832</v>
      </c>
      <c r="E66" s="62">
        <f>AUX_MOD_10.2!D20</f>
        <v>0</v>
      </c>
      <c r="F66" s="36">
        <f t="shared" si="10"/>
        <v>0</v>
      </c>
      <c r="G66" s="36">
        <f t="shared" si="11"/>
        <v>0</v>
      </c>
      <c r="H66" s="38"/>
      <c r="I66" s="38"/>
      <c r="J66" s="38"/>
      <c r="K66" s="38"/>
    </row>
    <row r="67" spans="2:11" s="43" customFormat="1" x14ac:dyDescent="0.2">
      <c r="B67" s="20" t="s">
        <v>39</v>
      </c>
      <c r="C67" s="41">
        <f t="shared" ref="C67:C69" si="12">$C$3*(1-60%)</f>
        <v>3.4000000000000002E-2</v>
      </c>
      <c r="D67" s="62">
        <f>AUX_MOD_10.1!D30</f>
        <v>13.14227174990415</v>
      </c>
      <c r="E67" s="62">
        <f>AUX_MOD_10.2!D21</f>
        <v>0</v>
      </c>
      <c r="F67" s="36">
        <f t="shared" si="10"/>
        <v>0.44683723949674115</v>
      </c>
      <c r="G67" s="36">
        <f t="shared" si="11"/>
        <v>0</v>
      </c>
      <c r="H67" s="38"/>
      <c r="I67" s="38"/>
      <c r="J67" s="38"/>
      <c r="K67" s="38"/>
    </row>
    <row r="68" spans="2:11" s="43" customFormat="1" x14ac:dyDescent="0.2">
      <c r="B68" s="20" t="s">
        <v>40</v>
      </c>
      <c r="C68" s="41">
        <f t="shared" si="12"/>
        <v>3.4000000000000002E-2</v>
      </c>
      <c r="D68" s="62">
        <f>AUX_MOD_10.1!D31</f>
        <v>274.13594933186562</v>
      </c>
      <c r="E68" s="62">
        <f>AUX_MOD_10.2!D22</f>
        <v>0</v>
      </c>
      <c r="F68" s="36">
        <f t="shared" si="10"/>
        <v>9.320622277283432</v>
      </c>
      <c r="G68" s="36">
        <f t="shared" si="11"/>
        <v>0</v>
      </c>
      <c r="H68" s="38"/>
      <c r="I68" s="38"/>
      <c r="J68" s="38"/>
      <c r="K68" s="38"/>
    </row>
    <row r="69" spans="2:11" s="43" customFormat="1" x14ac:dyDescent="0.2">
      <c r="B69" s="20" t="s">
        <v>41</v>
      </c>
      <c r="C69" s="41">
        <f t="shared" si="12"/>
        <v>3.4000000000000002E-2</v>
      </c>
      <c r="D69" s="62">
        <f>AUX_MOD_10.1!D32</f>
        <v>60.553777839088731</v>
      </c>
      <c r="E69" s="62">
        <f>AUX_MOD_10.2!D23</f>
        <v>0</v>
      </c>
      <c r="F69" s="36">
        <f t="shared" si="10"/>
        <v>2.058828446529017</v>
      </c>
      <c r="G69" s="36">
        <f t="shared" si="11"/>
        <v>0</v>
      </c>
      <c r="H69" s="38"/>
      <c r="I69" s="38"/>
      <c r="J69" s="38"/>
      <c r="K69" s="38"/>
    </row>
    <row r="70" spans="2:11" s="43" customFormat="1" x14ac:dyDescent="0.2">
      <c r="B70" s="42" t="s">
        <v>42</v>
      </c>
      <c r="C70" s="41">
        <f>$C$3</f>
        <v>8.5000000000000006E-2</v>
      </c>
      <c r="D70" s="62">
        <f>AUX_MOD_10.1!D33</f>
        <v>100.5126309434514</v>
      </c>
      <c r="E70" s="62">
        <f>AUX_MOD_10.2!D24</f>
        <v>10.04220618533634</v>
      </c>
      <c r="F70" s="36">
        <f t="shared" si="10"/>
        <v>8.5435736301933698</v>
      </c>
      <c r="G70" s="36">
        <f t="shared" si="11"/>
        <v>0.85358752575358898</v>
      </c>
      <c r="H70" s="38"/>
      <c r="I70" s="38"/>
      <c r="J70" s="38"/>
      <c r="K70" s="38"/>
    </row>
    <row r="71" spans="2:11" s="43" customFormat="1" x14ac:dyDescent="0.2">
      <c r="B71" s="42" t="s">
        <v>60</v>
      </c>
      <c r="C71" s="68">
        <f>C58</f>
        <v>0.35149999999999998</v>
      </c>
      <c r="D71" s="62">
        <f>AUX_MOD_10.1!D34</f>
        <v>25.212835050488049</v>
      </c>
      <c r="E71" s="62">
        <f>AUX_MOD_10.2!D25</f>
        <v>0</v>
      </c>
      <c r="F71" s="70">
        <f>D71/C72*C71</f>
        <v>1.4869650201755955</v>
      </c>
      <c r="G71" s="70">
        <f>E71/C72*C71</f>
        <v>0</v>
      </c>
      <c r="H71" s="38"/>
      <c r="I71" s="38"/>
      <c r="J71" s="38"/>
      <c r="K71" s="38"/>
    </row>
    <row r="72" spans="2:11" s="43" customFormat="1" x14ac:dyDescent="0.2">
      <c r="B72" s="42" t="s">
        <v>62</v>
      </c>
      <c r="C72" s="66">
        <v>5.96</v>
      </c>
      <c r="D72"/>
      <c r="E72"/>
      <c r="F72"/>
      <c r="G72"/>
      <c r="H72" s="38"/>
      <c r="I72" s="38"/>
      <c r="J72" s="38"/>
      <c r="K72" s="38"/>
    </row>
    <row r="73" spans="2:11" s="43" customFormat="1" x14ac:dyDescent="0.2">
      <c r="C73" s="44"/>
      <c r="D73" s="38"/>
      <c r="E73" s="38"/>
      <c r="F73" s="38"/>
      <c r="G73" s="38"/>
      <c r="H73" s="38"/>
      <c r="I73" s="38"/>
      <c r="J73" s="38"/>
      <c r="K73" s="38"/>
    </row>
    <row r="75" spans="2:11" ht="22" x14ac:dyDescent="0.2">
      <c r="B75" s="81" t="s">
        <v>34</v>
      </c>
      <c r="C75" s="81"/>
      <c r="D75" s="81"/>
      <c r="E75" s="81"/>
      <c r="F75" s="81"/>
      <c r="G75" s="81"/>
      <c r="H75" s="81"/>
      <c r="I75" s="59"/>
      <c r="J75" s="59"/>
      <c r="K75" s="59"/>
    </row>
    <row r="77" spans="2:11" ht="19" x14ac:dyDescent="0.2">
      <c r="F77" s="85">
        <v>2023</v>
      </c>
      <c r="G77" s="85"/>
      <c r="H77" s="85">
        <v>2024</v>
      </c>
      <c r="I77" s="85"/>
    </row>
    <row r="78" spans="2:11" ht="102" x14ac:dyDescent="0.2">
      <c r="C78" s="22" t="s">
        <v>14</v>
      </c>
      <c r="D78" s="22" t="s">
        <v>15</v>
      </c>
      <c r="E78" s="22" t="s">
        <v>16</v>
      </c>
      <c r="F78" s="22" t="s">
        <v>23</v>
      </c>
      <c r="G78" s="22" t="s">
        <v>17</v>
      </c>
      <c r="H78" s="22" t="s">
        <v>23</v>
      </c>
      <c r="I78" s="22" t="s">
        <v>17</v>
      </c>
    </row>
    <row r="79" spans="2:11" x14ac:dyDescent="0.2">
      <c r="B79" s="4" t="s">
        <v>45</v>
      </c>
      <c r="C79" s="45"/>
      <c r="D79" s="42"/>
      <c r="E79" s="42"/>
      <c r="F79" s="42"/>
      <c r="G79" s="46">
        <f>SUM(G80:G90)</f>
        <v>23.380016374205688</v>
      </c>
      <c r="H79" s="42"/>
      <c r="I79" s="46">
        <f>SUM(I80:I90)</f>
        <v>22.692183841914826</v>
      </c>
    </row>
    <row r="80" spans="2:11" x14ac:dyDescent="0.2">
      <c r="B80" s="8" t="s">
        <v>37</v>
      </c>
      <c r="C80" s="35">
        <f>$C$3*(1-100%)</f>
        <v>0</v>
      </c>
      <c r="D80" s="47">
        <f>$C$3</f>
        <v>8.5000000000000006E-2</v>
      </c>
      <c r="E80" s="47">
        <f>D80-C80</f>
        <v>8.5000000000000006E-2</v>
      </c>
      <c r="F80" s="64">
        <f>AUX_MOD_10.3!C11</f>
        <v>17.11891703613767</v>
      </c>
      <c r="G80" s="48">
        <f>F80*E80</f>
        <v>1.4551079480717022</v>
      </c>
      <c r="H80" s="64">
        <f>AUX_MOD_10.3!D11</f>
        <v>21.263956533390012</v>
      </c>
      <c r="I80" s="48">
        <f>H80*E80</f>
        <v>1.807436305338151</v>
      </c>
    </row>
    <row r="81" spans="2:9" x14ac:dyDescent="0.2">
      <c r="B81" s="9" t="s">
        <v>47</v>
      </c>
      <c r="C81" s="35">
        <f t="shared" ref="C81:C83" si="13">$C$3*(1-100%)</f>
        <v>0</v>
      </c>
      <c r="D81" s="47">
        <f>$C$3</f>
        <v>8.5000000000000006E-2</v>
      </c>
      <c r="E81" s="47">
        <f t="shared" ref="E81:E92" si="14">D81-C81</f>
        <v>8.5000000000000006E-2</v>
      </c>
      <c r="F81" s="64">
        <f>AUX_MOD_10.3!C12</f>
        <v>5.3590717442183293E-3</v>
      </c>
      <c r="G81" s="48">
        <f t="shared" ref="G81:G90" si="15">F81*E81</f>
        <v>4.5552109825855805E-4</v>
      </c>
      <c r="H81" s="64">
        <f>AUX_MOD_10.3!D12</f>
        <v>1.399674045233526E-3</v>
      </c>
      <c r="I81" s="48">
        <f t="shared" ref="I81:I90" si="16">H81*E81</f>
        <v>1.1897229384484971E-4</v>
      </c>
    </row>
    <row r="82" spans="2:9" x14ac:dyDescent="0.2">
      <c r="B82" s="9" t="s">
        <v>38</v>
      </c>
      <c r="C82" s="35">
        <f t="shared" si="13"/>
        <v>0</v>
      </c>
      <c r="D82" s="47">
        <f t="shared" ref="D82:D89" si="17">$C$3</f>
        <v>8.5000000000000006E-2</v>
      </c>
      <c r="E82" s="47">
        <f t="shared" ref="E82:E89" si="18">D82-C82</f>
        <v>8.5000000000000006E-2</v>
      </c>
      <c r="F82" s="64">
        <f>AUX_MOD_10.3!C13</f>
        <v>26.279257089944949</v>
      </c>
      <c r="G82" s="48">
        <f t="shared" si="15"/>
        <v>2.233736852645321</v>
      </c>
      <c r="H82" s="64">
        <f>AUX_MOD_10.3!D13</f>
        <v>30.150844170011169</v>
      </c>
      <c r="I82" s="48">
        <f t="shared" ref="I82:I89" si="19">H82*E82</f>
        <v>2.5628217544509497</v>
      </c>
    </row>
    <row r="83" spans="2:9" x14ac:dyDescent="0.2">
      <c r="B83" s="9" t="s">
        <v>48</v>
      </c>
      <c r="C83" s="35">
        <f t="shared" si="13"/>
        <v>0</v>
      </c>
      <c r="D83" s="47">
        <f t="shared" si="17"/>
        <v>8.5000000000000006E-2</v>
      </c>
      <c r="E83" s="47">
        <f t="shared" si="18"/>
        <v>8.5000000000000006E-2</v>
      </c>
      <c r="F83" s="64">
        <f>AUX_MOD_10.3!C14</f>
        <v>0.54370669929434579</v>
      </c>
      <c r="G83" s="48">
        <f t="shared" si="15"/>
        <v>4.6215069440019393E-2</v>
      </c>
      <c r="H83" s="64">
        <f>AUX_MOD_10.3!D14</f>
        <v>0.38417177217462373</v>
      </c>
      <c r="I83" s="48">
        <f t="shared" si="19"/>
        <v>3.2654600634843017E-2</v>
      </c>
    </row>
    <row r="84" spans="2:9" x14ac:dyDescent="0.2">
      <c r="B84" s="9" t="s">
        <v>39</v>
      </c>
      <c r="C84" s="35">
        <f>$C$3*(1-60%)</f>
        <v>3.4000000000000002E-2</v>
      </c>
      <c r="D84" s="47">
        <f t="shared" si="17"/>
        <v>8.5000000000000006E-2</v>
      </c>
      <c r="E84" s="47">
        <f t="shared" si="18"/>
        <v>5.1000000000000004E-2</v>
      </c>
      <c r="F84" s="64">
        <f>AUX_MOD_10.3!C15</f>
        <v>62.100427152037931</v>
      </c>
      <c r="G84" s="48">
        <f t="shared" si="15"/>
        <v>3.1671217847539346</v>
      </c>
      <c r="H84" s="64">
        <f>AUX_MOD_10.3!D15</f>
        <v>49.346720006507766</v>
      </c>
      <c r="I84" s="48">
        <f t="shared" si="19"/>
        <v>2.5166827203318962</v>
      </c>
    </row>
    <row r="85" spans="2:9" x14ac:dyDescent="0.2">
      <c r="B85" s="9" t="s">
        <v>51</v>
      </c>
      <c r="C85" s="35">
        <f t="shared" ref="C85:C89" si="20">$C$3*(1-60%)</f>
        <v>3.4000000000000002E-2</v>
      </c>
      <c r="D85" s="47">
        <f t="shared" si="17"/>
        <v>8.5000000000000006E-2</v>
      </c>
      <c r="E85" s="47">
        <f t="shared" si="18"/>
        <v>5.1000000000000004E-2</v>
      </c>
      <c r="F85" s="64">
        <f>AUX_MOD_10.3!C16</f>
        <v>0</v>
      </c>
      <c r="G85" s="48">
        <f t="shared" si="15"/>
        <v>0</v>
      </c>
      <c r="H85" s="64">
        <f>AUX_MOD_10.3!D16</f>
        <v>7.4329330082430314E-5</v>
      </c>
      <c r="I85" s="48">
        <f t="shared" si="19"/>
        <v>3.7907958342039462E-6</v>
      </c>
    </row>
    <row r="86" spans="2:9" x14ac:dyDescent="0.2">
      <c r="B86" s="9" t="s">
        <v>49</v>
      </c>
      <c r="C86" s="35">
        <f t="shared" si="20"/>
        <v>3.4000000000000002E-2</v>
      </c>
      <c r="D86" s="47">
        <f t="shared" si="17"/>
        <v>8.5000000000000006E-2</v>
      </c>
      <c r="E86" s="47">
        <f t="shared" si="18"/>
        <v>5.1000000000000004E-2</v>
      </c>
      <c r="F86" s="64">
        <f>AUX_MOD_10.3!C17</f>
        <v>5.800658286327329E-4</v>
      </c>
      <c r="G86" s="48">
        <f t="shared" si="15"/>
        <v>2.958335726026938E-5</v>
      </c>
      <c r="H86" s="64">
        <f>AUX_MOD_10.3!D17</f>
        <v>1.552956097207704E-2</v>
      </c>
      <c r="I86" s="48">
        <f t="shared" si="19"/>
        <v>7.9200760957592908E-4</v>
      </c>
    </row>
    <row r="87" spans="2:9" x14ac:dyDescent="0.2">
      <c r="B87" s="9" t="s">
        <v>40</v>
      </c>
      <c r="C87" s="35">
        <f t="shared" si="20"/>
        <v>3.4000000000000002E-2</v>
      </c>
      <c r="D87" s="47">
        <f t="shared" si="17"/>
        <v>8.5000000000000006E-2</v>
      </c>
      <c r="E87" s="47">
        <f t="shared" si="18"/>
        <v>5.1000000000000004E-2</v>
      </c>
      <c r="F87" s="64">
        <f>AUX_MOD_10.3!C18</f>
        <v>181.83787835511458</v>
      </c>
      <c r="G87" s="48">
        <f t="shared" si="15"/>
        <v>9.2737317961108445</v>
      </c>
      <c r="H87" s="64">
        <f>AUX_MOD_10.3!D18</f>
        <v>165.8673528722959</v>
      </c>
      <c r="I87" s="48">
        <f t="shared" si="19"/>
        <v>8.4592349964870905</v>
      </c>
    </row>
    <row r="88" spans="2:9" x14ac:dyDescent="0.2">
      <c r="B88" s="9" t="s">
        <v>50</v>
      </c>
      <c r="C88" s="35">
        <f t="shared" si="20"/>
        <v>3.4000000000000002E-2</v>
      </c>
      <c r="D88" s="47">
        <f t="shared" si="17"/>
        <v>8.5000000000000006E-2</v>
      </c>
      <c r="E88" s="47">
        <f t="shared" si="18"/>
        <v>5.1000000000000004E-2</v>
      </c>
      <c r="F88" s="64">
        <f>AUX_MOD_10.3!C19</f>
        <v>1.7826084261702199E-4</v>
      </c>
      <c r="G88" s="48">
        <f t="shared" si="15"/>
        <v>9.0913029734681214E-6</v>
      </c>
      <c r="H88" s="64">
        <f>AUX_MOD_10.3!D19</f>
        <v>1.064071629070156E-3</v>
      </c>
      <c r="I88" s="48">
        <f t="shared" si="19"/>
        <v>5.4267653082577961E-5</v>
      </c>
    </row>
    <row r="89" spans="2:9" x14ac:dyDescent="0.2">
      <c r="B89" s="9" t="s">
        <v>41</v>
      </c>
      <c r="C89" s="35">
        <f t="shared" si="20"/>
        <v>3.4000000000000002E-2</v>
      </c>
      <c r="D89" s="47">
        <f t="shared" si="17"/>
        <v>8.5000000000000006E-2</v>
      </c>
      <c r="E89" s="47">
        <f t="shared" si="18"/>
        <v>5.1000000000000004E-2</v>
      </c>
      <c r="F89" s="64">
        <f>AUX_MOD_10.3!C20</f>
        <v>141.24722994951708</v>
      </c>
      <c r="G89" s="48">
        <f t="shared" si="15"/>
        <v>7.2036087274253715</v>
      </c>
      <c r="H89" s="64">
        <f>AUX_MOD_10.3!D20</f>
        <v>143.38008679057958</v>
      </c>
      <c r="I89" s="48">
        <f t="shared" si="19"/>
        <v>7.312384426319559</v>
      </c>
    </row>
    <row r="90" spans="2:9" x14ac:dyDescent="0.2">
      <c r="B90" s="9" t="s">
        <v>42</v>
      </c>
      <c r="C90" s="35">
        <f>$C$3</f>
        <v>8.5000000000000006E-2</v>
      </c>
      <c r="D90" s="47">
        <f>$C$3</f>
        <v>8.5000000000000006E-2</v>
      </c>
      <c r="E90" s="47">
        <f t="shared" si="14"/>
        <v>0</v>
      </c>
      <c r="F90" s="64">
        <f>AUX_MOD_10.3!C21</f>
        <v>3.7601906946413997</v>
      </c>
      <c r="G90" s="48">
        <f t="shared" si="15"/>
        <v>0</v>
      </c>
      <c r="H90" s="64">
        <f>AUX_MOD_10.3!D21</f>
        <v>3.5014450209269827</v>
      </c>
      <c r="I90" s="48">
        <f t="shared" si="16"/>
        <v>0</v>
      </c>
    </row>
    <row r="91" spans="2:9" x14ac:dyDescent="0.2">
      <c r="B91" s="4" t="s">
        <v>46</v>
      </c>
      <c r="C91" s="35"/>
      <c r="D91" s="47"/>
      <c r="E91" s="47"/>
      <c r="F91" s="65"/>
      <c r="G91" s="49">
        <f>SUM(G92:G97)</f>
        <v>0.22391256974494095</v>
      </c>
      <c r="H91" s="65"/>
      <c r="I91" s="49">
        <f>SUM(I92:I97)</f>
        <v>0.23846435139902358</v>
      </c>
    </row>
    <row r="92" spans="2:9" x14ac:dyDescent="0.2">
      <c r="B92" s="57" t="s">
        <v>54</v>
      </c>
      <c r="C92" s="35">
        <f>$C$3</f>
        <v>8.5000000000000006E-2</v>
      </c>
      <c r="D92" s="47">
        <f>$C$3</f>
        <v>8.5000000000000006E-2</v>
      </c>
      <c r="E92" s="47">
        <f t="shared" si="14"/>
        <v>0</v>
      </c>
      <c r="F92" s="63">
        <f>AUX_MOD_10.4!C7</f>
        <v>7.684390408235763</v>
      </c>
      <c r="G92" s="58">
        <f>F92*E92</f>
        <v>0</v>
      </c>
      <c r="H92" s="63">
        <f>AUX_MOD_10.4!D7</f>
        <v>8.2807965402704848</v>
      </c>
      <c r="I92" s="58">
        <f>H92*E92</f>
        <v>0</v>
      </c>
    </row>
    <row r="93" spans="2:9" x14ac:dyDescent="0.2">
      <c r="B93" s="57" t="s">
        <v>55</v>
      </c>
      <c r="C93" s="35">
        <f>$C$3</f>
        <v>8.5000000000000006E-2</v>
      </c>
      <c r="D93" s="47">
        <f t="shared" ref="D93:D97" si="21">$C$3</f>
        <v>8.5000000000000006E-2</v>
      </c>
      <c r="E93" s="47">
        <f t="shared" ref="E93:E96" si="22">D93-C93</f>
        <v>0</v>
      </c>
      <c r="F93" s="63">
        <f>AUX_MOD_10.4!C8</f>
        <v>22.398093367568269</v>
      </c>
      <c r="G93" s="58">
        <f t="shared" ref="G93:G96" si="23">F93*E93</f>
        <v>0</v>
      </c>
      <c r="H93" s="63">
        <f>AUX_MOD_10.4!D8</f>
        <v>25.900977753039939</v>
      </c>
      <c r="I93" s="58">
        <f t="shared" ref="I93:I96" si="24">H93*E93</f>
        <v>0</v>
      </c>
    </row>
    <row r="94" spans="2:9" x14ac:dyDescent="0.2">
      <c r="B94" s="57" t="s">
        <v>35</v>
      </c>
      <c r="C94" s="35">
        <f>$C$3*(1-30%)</f>
        <v>5.9499999999999997E-2</v>
      </c>
      <c r="D94" s="47">
        <f t="shared" si="21"/>
        <v>8.5000000000000006E-2</v>
      </c>
      <c r="E94" s="47">
        <f t="shared" si="22"/>
        <v>2.5500000000000009E-2</v>
      </c>
      <c r="F94" s="63">
        <f>AUX_MOD_10.4!C9</f>
        <v>3.6129727111023096</v>
      </c>
      <c r="G94" s="58">
        <f t="shared" si="23"/>
        <v>9.2130804133108923E-2</v>
      </c>
      <c r="H94" s="63">
        <f>AUX_MOD_10.4!D9</f>
        <v>3.9560882712511249</v>
      </c>
      <c r="I94" s="58">
        <f t="shared" si="24"/>
        <v>0.10088025091690372</v>
      </c>
    </row>
    <row r="95" spans="2:9" x14ac:dyDescent="0.2">
      <c r="B95" s="57" t="s">
        <v>56</v>
      </c>
      <c r="C95" s="35">
        <f t="shared" ref="C95:C97" si="25">$C$3*(1-60%)</f>
        <v>3.4000000000000002E-2</v>
      </c>
      <c r="D95" s="47">
        <f t="shared" si="21"/>
        <v>8.5000000000000006E-2</v>
      </c>
      <c r="E95" s="47">
        <f t="shared" si="22"/>
        <v>5.1000000000000004E-2</v>
      </c>
      <c r="F95" s="63">
        <f>AUX_MOD_10.4!C10</f>
        <v>2.4009308060540868</v>
      </c>
      <c r="G95" s="58">
        <f t="shared" si="23"/>
        <v>0.12244747110875843</v>
      </c>
      <c r="H95" s="63">
        <f>AUX_MOD_10.4!D10</f>
        <v>2.5093326736657482</v>
      </c>
      <c r="I95" s="58">
        <f t="shared" si="24"/>
        <v>0.12797596635695316</v>
      </c>
    </row>
    <row r="96" spans="2:9" x14ac:dyDescent="0.2">
      <c r="B96" s="57" t="s">
        <v>57</v>
      </c>
      <c r="C96" s="35">
        <f t="shared" si="25"/>
        <v>3.4000000000000002E-2</v>
      </c>
      <c r="D96" s="47">
        <f t="shared" si="21"/>
        <v>8.5000000000000006E-2</v>
      </c>
      <c r="E96" s="47">
        <f t="shared" si="22"/>
        <v>5.1000000000000004E-2</v>
      </c>
      <c r="F96" s="63">
        <f>AUX_MOD_10.4!C11</f>
        <v>0.11653676463858179</v>
      </c>
      <c r="G96" s="58">
        <f t="shared" si="23"/>
        <v>5.9433749965676717E-3</v>
      </c>
      <c r="H96" s="63">
        <f>AUX_MOD_10.4!D11</f>
        <v>0.11855033991088007</v>
      </c>
      <c r="I96" s="58">
        <f t="shared" si="24"/>
        <v>6.0460673354548839E-3</v>
      </c>
    </row>
    <row r="97" spans="2:9" x14ac:dyDescent="0.2">
      <c r="B97" s="57" t="s">
        <v>58</v>
      </c>
      <c r="C97" s="35">
        <f t="shared" si="25"/>
        <v>3.4000000000000002E-2</v>
      </c>
      <c r="D97" s="47">
        <f t="shared" si="21"/>
        <v>8.5000000000000006E-2</v>
      </c>
      <c r="E97" s="47">
        <f t="shared" ref="E97" si="26">D97-C97</f>
        <v>5.1000000000000004E-2</v>
      </c>
      <c r="F97" s="63">
        <f>AUX_MOD_10.4!C12</f>
        <v>6.6488617774626169E-2</v>
      </c>
      <c r="G97" s="58">
        <f t="shared" ref="G97" si="27">F97*E97</f>
        <v>3.3909195065059349E-3</v>
      </c>
      <c r="H97" s="63">
        <f>AUX_MOD_10.4!D12</f>
        <v>6.9844446857094705E-2</v>
      </c>
      <c r="I97" s="58">
        <f t="shared" ref="I97" si="28">H97*E97</f>
        <v>3.5620667897118302E-3</v>
      </c>
    </row>
  </sheetData>
  <mergeCells count="28">
    <mergeCell ref="F77:G77"/>
    <mergeCell ref="H77:I77"/>
    <mergeCell ref="B75:H75"/>
    <mergeCell ref="D36:E36"/>
    <mergeCell ref="F36:G36"/>
    <mergeCell ref="B37:B38"/>
    <mergeCell ref="C37:C38"/>
    <mergeCell ref="D37:D38"/>
    <mergeCell ref="E37:E38"/>
    <mergeCell ref="F37:F38"/>
    <mergeCell ref="G37:G38"/>
    <mergeCell ref="D48:G48"/>
    <mergeCell ref="F49:G49"/>
    <mergeCell ref="D49:E49"/>
    <mergeCell ref="D61:G61"/>
    <mergeCell ref="D62:E62"/>
    <mergeCell ref="F62:G62"/>
    <mergeCell ref="G18:G19"/>
    <mergeCell ref="B5:H5"/>
    <mergeCell ref="D17:E17"/>
    <mergeCell ref="F17:G17"/>
    <mergeCell ref="B18:B19"/>
    <mergeCell ref="C18:C19"/>
    <mergeCell ref="D18:D19"/>
    <mergeCell ref="E18:E19"/>
    <mergeCell ref="F18:F19"/>
    <mergeCell ref="C8:E8"/>
    <mergeCell ref="F8:H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2FA6-AD72-4E31-8489-5FA87379DE9B}">
  <dimension ref="B1:D80"/>
  <sheetViews>
    <sheetView showGridLines="0" workbookViewId="0">
      <selection activeCell="L26" sqref="L26"/>
    </sheetView>
  </sheetViews>
  <sheetFormatPr baseColWidth="10" defaultColWidth="8.83203125" defaultRowHeight="15" x14ac:dyDescent="0.2"/>
  <cols>
    <col min="2" max="2" width="56.5" customWidth="1"/>
    <col min="3" max="4" width="16.5" customWidth="1"/>
  </cols>
  <sheetData>
    <row r="1" spans="2:4" x14ac:dyDescent="0.2">
      <c r="B1" s="1" t="s">
        <v>0</v>
      </c>
    </row>
    <row r="4" spans="2:4" x14ac:dyDescent="0.2">
      <c r="B4" s="26" t="s">
        <v>4</v>
      </c>
    </row>
    <row r="7" spans="2:4" x14ac:dyDescent="0.2">
      <c r="D7" s="3" t="s">
        <v>1</v>
      </c>
    </row>
    <row r="8" spans="2:4" x14ac:dyDescent="0.2">
      <c r="B8" s="27" t="s">
        <v>25</v>
      </c>
      <c r="C8" s="23">
        <v>2023</v>
      </c>
      <c r="D8" s="23">
        <v>2024</v>
      </c>
    </row>
    <row r="9" spans="2:4" x14ac:dyDescent="0.2">
      <c r="B9" s="83" t="s">
        <v>5</v>
      </c>
      <c r="C9" s="80" t="s">
        <v>7</v>
      </c>
      <c r="D9" s="80" t="s">
        <v>7</v>
      </c>
    </row>
    <row r="10" spans="2:4" x14ac:dyDescent="0.2">
      <c r="B10" s="83"/>
      <c r="C10" s="80"/>
      <c r="D10" s="80"/>
    </row>
    <row r="11" spans="2:4" x14ac:dyDescent="0.2">
      <c r="B11" s="6" t="s">
        <v>8</v>
      </c>
      <c r="C11" s="7"/>
      <c r="D11" s="7"/>
    </row>
    <row r="12" spans="2:4" ht="17.25" customHeight="1" x14ac:dyDescent="0.2">
      <c r="B12" s="8" t="s">
        <v>37</v>
      </c>
      <c r="C12" s="61">
        <v>20.087341768131431</v>
      </c>
      <c r="D12" s="61">
        <v>25.706661484599461</v>
      </c>
    </row>
    <row r="13" spans="2:4" ht="17.25" customHeight="1" x14ac:dyDescent="0.2">
      <c r="B13" s="8" t="s">
        <v>47</v>
      </c>
      <c r="C13" s="61">
        <v>6.2883361990016054E-3</v>
      </c>
      <c r="D13" s="61">
        <v>1.692109688669586E-3</v>
      </c>
    </row>
    <row r="14" spans="2:4" ht="17.25" customHeight="1" x14ac:dyDescent="0.2">
      <c r="B14" s="8" t="s">
        <v>38</v>
      </c>
      <c r="C14" s="61">
        <v>30.836087204813868</v>
      </c>
      <c r="D14" s="61">
        <v>36.450297635640389</v>
      </c>
    </row>
    <row r="15" spans="2:4" ht="17.25" customHeight="1" x14ac:dyDescent="0.2">
      <c r="B15" s="8" t="s">
        <v>48</v>
      </c>
      <c r="C15" s="61">
        <v>0.63798558444397357</v>
      </c>
      <c r="D15" s="61">
        <v>0.4644372595346567</v>
      </c>
    </row>
    <row r="16" spans="2:4" ht="17.25" customHeight="1" x14ac:dyDescent="0.2">
      <c r="B16" s="8" t="s">
        <v>39</v>
      </c>
      <c r="C16" s="61">
        <v>72.868657609393807</v>
      </c>
      <c r="D16" s="61">
        <v>59.656791744784911</v>
      </c>
    </row>
    <row r="17" spans="2:4" ht="17.25" customHeight="1" x14ac:dyDescent="0.2">
      <c r="B17" s="8" t="s">
        <v>51</v>
      </c>
      <c r="C17" s="76">
        <v>0</v>
      </c>
      <c r="D17" s="61">
        <v>8.9859049693113131E-5</v>
      </c>
    </row>
    <row r="18" spans="2:4" ht="17.25" customHeight="1" x14ac:dyDescent="0.2">
      <c r="B18" s="8" t="s">
        <v>49</v>
      </c>
      <c r="C18" s="61">
        <v>6.8064939640533203E-4</v>
      </c>
      <c r="D18" s="61">
        <v>1.8774171508804678E-2</v>
      </c>
    </row>
    <row r="19" spans="2:4" ht="17.25" customHeight="1" x14ac:dyDescent="0.2">
      <c r="B19" s="8" t="s">
        <v>40</v>
      </c>
      <c r="C19" s="61">
        <v>213.368614451513</v>
      </c>
      <c r="D19" s="61">
        <v>200.52222571746123</v>
      </c>
    </row>
    <row r="20" spans="2:4" ht="17.25" customHeight="1" x14ac:dyDescent="0.2">
      <c r="B20" s="9" t="s">
        <v>50</v>
      </c>
      <c r="C20" s="61">
        <v>2.09171319772404E-4</v>
      </c>
      <c r="D20" s="61">
        <v>1.286389441255686E-3</v>
      </c>
    </row>
    <row r="21" spans="2:4" ht="17.25" customHeight="1" x14ac:dyDescent="0.2">
      <c r="B21" s="9" t="s">
        <v>41</v>
      </c>
      <c r="C21" s="61">
        <v>165.7395368999311</v>
      </c>
      <c r="D21" s="61">
        <v>173.336667095336</v>
      </c>
    </row>
    <row r="22" spans="2:4" ht="17.25" customHeight="1" x14ac:dyDescent="0.2">
      <c r="B22" s="10" t="s">
        <v>42</v>
      </c>
      <c r="C22" s="61">
        <v>4.4122087534604191</v>
      </c>
      <c r="D22" s="61">
        <v>4.2330062948805445</v>
      </c>
    </row>
    <row r="23" spans="2:4" s="21" customFormat="1" ht="17.25" customHeight="1" x14ac:dyDescent="0.2">
      <c r="B23" s="24"/>
      <c r="C23" s="13"/>
      <c r="D23" s="13"/>
    </row>
    <row r="24" spans="2:4" s="21" customFormat="1" ht="17.25" customHeight="1" x14ac:dyDescent="0.2">
      <c r="B24" s="24"/>
      <c r="C24"/>
      <c r="D24" s="3" t="s">
        <v>1</v>
      </c>
    </row>
    <row r="25" spans="2:4" x14ac:dyDescent="0.2">
      <c r="B25" s="27" t="s">
        <v>26</v>
      </c>
      <c r="C25" s="23">
        <v>2023</v>
      </c>
      <c r="D25" s="23">
        <v>2024</v>
      </c>
    </row>
    <row r="26" spans="2:4" ht="48" x14ac:dyDescent="0.2">
      <c r="B26" s="14" t="s">
        <v>11</v>
      </c>
      <c r="C26" s="25" t="s">
        <v>10</v>
      </c>
      <c r="D26" s="25" t="s">
        <v>10</v>
      </c>
    </row>
    <row r="27" spans="2:4" x14ac:dyDescent="0.2">
      <c r="B27" s="17" t="s">
        <v>13</v>
      </c>
      <c r="C27" s="18"/>
      <c r="D27" s="17"/>
    </row>
    <row r="28" spans="2:4" ht="16" x14ac:dyDescent="0.2">
      <c r="B28" s="19" t="s">
        <v>37</v>
      </c>
      <c r="C28" s="61">
        <v>1.828982022424505</v>
      </c>
      <c r="D28" s="61">
        <v>2.043708903014986</v>
      </c>
    </row>
    <row r="29" spans="2:4" x14ac:dyDescent="0.2">
      <c r="B29" s="20" t="s">
        <v>38</v>
      </c>
      <c r="C29" s="61">
        <v>1.8881865190396558</v>
      </c>
      <c r="D29" s="61">
        <v>2.7161207044117832</v>
      </c>
    </row>
    <row r="30" spans="2:4" x14ac:dyDescent="0.2">
      <c r="B30" s="20" t="s">
        <v>39</v>
      </c>
      <c r="C30" s="61">
        <v>13.31161471648705</v>
      </c>
      <c r="D30" s="61">
        <v>13.14227174990415</v>
      </c>
    </row>
    <row r="31" spans="2:4" x14ac:dyDescent="0.2">
      <c r="B31" s="20" t="s">
        <v>40</v>
      </c>
      <c r="C31" s="61">
        <v>279.9197388108629</v>
      </c>
      <c r="D31" s="61">
        <v>274.13594933186562</v>
      </c>
    </row>
    <row r="32" spans="2:4" x14ac:dyDescent="0.2">
      <c r="B32" s="20" t="s">
        <v>41</v>
      </c>
      <c r="C32" s="61">
        <v>52.627882425633636</v>
      </c>
      <c r="D32" s="61">
        <v>60.553777839088731</v>
      </c>
    </row>
    <row r="33" spans="2:4" x14ac:dyDescent="0.2">
      <c r="B33" s="2" t="s">
        <v>42</v>
      </c>
      <c r="C33" s="61">
        <v>116.98362595348939</v>
      </c>
      <c r="D33" s="61">
        <v>100.5126309434514</v>
      </c>
    </row>
    <row r="34" spans="2:4" x14ac:dyDescent="0.2">
      <c r="B34" s="2" t="s">
        <v>52</v>
      </c>
      <c r="C34" s="61">
        <v>24.85957568078609</v>
      </c>
      <c r="D34" s="61">
        <v>25.212835050488049</v>
      </c>
    </row>
    <row r="37" spans="2:4" x14ac:dyDescent="0.2">
      <c r="B37" s="26" t="s">
        <v>18</v>
      </c>
    </row>
    <row r="38" spans="2:4" x14ac:dyDescent="0.2">
      <c r="B38" s="71" t="s">
        <v>67</v>
      </c>
    </row>
    <row r="39" spans="2:4" x14ac:dyDescent="0.2">
      <c r="B39" s="71" t="s">
        <v>63</v>
      </c>
    </row>
    <row r="40" spans="2:4" x14ac:dyDescent="0.2">
      <c r="B40" s="71" t="s">
        <v>64</v>
      </c>
    </row>
    <row r="41" spans="2:4" x14ac:dyDescent="0.2">
      <c r="B41" s="71" t="s">
        <v>68</v>
      </c>
    </row>
    <row r="42" spans="2:4" x14ac:dyDescent="0.2">
      <c r="B42" s="71" t="s">
        <v>69</v>
      </c>
    </row>
    <row r="43" spans="2:4" x14ac:dyDescent="0.2">
      <c r="B43" s="27"/>
    </row>
    <row r="44" spans="2:4" x14ac:dyDescent="0.2">
      <c r="B44" s="26" t="s">
        <v>19</v>
      </c>
    </row>
    <row r="45" spans="2:4" x14ac:dyDescent="0.2">
      <c r="B45" s="27" t="s">
        <v>20</v>
      </c>
    </row>
    <row r="46" spans="2:4" x14ac:dyDescent="0.2">
      <c r="B46" s="72" t="s">
        <v>65</v>
      </c>
    </row>
    <row r="47" spans="2:4" x14ac:dyDescent="0.2">
      <c r="B47" s="27" t="s">
        <v>21</v>
      </c>
    </row>
    <row r="48" spans="2:4" x14ac:dyDescent="0.2">
      <c r="B48" t="s">
        <v>66</v>
      </c>
    </row>
    <row r="49" spans="2:2" x14ac:dyDescent="0.2">
      <c r="B49" t="s">
        <v>70</v>
      </c>
    </row>
    <row r="50" spans="2:2" x14ac:dyDescent="0.2">
      <c r="B50" s="77" t="s">
        <v>115</v>
      </c>
    </row>
    <row r="51" spans="2:2" x14ac:dyDescent="0.2">
      <c r="B51" t="s">
        <v>93</v>
      </c>
    </row>
    <row r="52" spans="2:2" x14ac:dyDescent="0.2">
      <c r="B52" s="77" t="s">
        <v>116</v>
      </c>
    </row>
    <row r="53" spans="2:2" x14ac:dyDescent="0.2">
      <c r="B53" t="s">
        <v>72</v>
      </c>
    </row>
    <row r="54" spans="2:2" x14ac:dyDescent="0.2">
      <c r="B54" t="s">
        <v>71</v>
      </c>
    </row>
    <row r="56" spans="2:2" x14ac:dyDescent="0.2">
      <c r="B56" s="27" t="s">
        <v>22</v>
      </c>
    </row>
    <row r="57" spans="2:2" x14ac:dyDescent="0.2">
      <c r="B57" t="s">
        <v>73</v>
      </c>
    </row>
    <row r="58" spans="2:2" x14ac:dyDescent="0.2">
      <c r="B58" t="s">
        <v>74</v>
      </c>
    </row>
    <row r="59" spans="2:2" x14ac:dyDescent="0.2">
      <c r="B59" t="s">
        <v>75</v>
      </c>
    </row>
    <row r="60" spans="2:2" x14ac:dyDescent="0.2">
      <c r="B60" s="77" t="s">
        <v>117</v>
      </c>
    </row>
    <row r="61" spans="2:2" x14ac:dyDescent="0.2">
      <c r="B61" t="s">
        <v>76</v>
      </c>
    </row>
    <row r="62" spans="2:2" x14ac:dyDescent="0.2">
      <c r="B62" t="s">
        <v>118</v>
      </c>
    </row>
    <row r="63" spans="2:2" x14ac:dyDescent="0.2">
      <c r="B63" s="77" t="s">
        <v>119</v>
      </c>
    </row>
    <row r="64" spans="2:2" x14ac:dyDescent="0.2">
      <c r="B64" t="s">
        <v>77</v>
      </c>
    </row>
    <row r="65" spans="2:2" x14ac:dyDescent="0.2">
      <c r="B65" t="s">
        <v>78</v>
      </c>
    </row>
    <row r="66" spans="2:2" x14ac:dyDescent="0.2">
      <c r="B66" t="s">
        <v>79</v>
      </c>
    </row>
    <row r="67" spans="2:2" x14ac:dyDescent="0.2">
      <c r="B67" t="s">
        <v>80</v>
      </c>
    </row>
    <row r="68" spans="2:2" x14ac:dyDescent="0.2">
      <c r="B68" t="s">
        <v>81</v>
      </c>
    </row>
    <row r="69" spans="2:2" x14ac:dyDescent="0.2">
      <c r="B69" t="s">
        <v>82</v>
      </c>
    </row>
    <row r="70" spans="2:2" x14ac:dyDescent="0.2">
      <c r="B70" s="74" t="s">
        <v>59</v>
      </c>
    </row>
    <row r="71" spans="2:2" x14ac:dyDescent="0.2">
      <c r="B71" s="73"/>
    </row>
    <row r="72" spans="2:2" x14ac:dyDescent="0.2">
      <c r="B72" s="27" t="s">
        <v>83</v>
      </c>
    </row>
    <row r="73" spans="2:2" x14ac:dyDescent="0.2">
      <c r="B73" t="s">
        <v>87</v>
      </c>
    </row>
    <row r="74" spans="2:2" x14ac:dyDescent="0.2">
      <c r="B74" t="s">
        <v>85</v>
      </c>
    </row>
    <row r="75" spans="2:2" x14ac:dyDescent="0.2">
      <c r="B75" t="s">
        <v>86</v>
      </c>
    </row>
    <row r="76" spans="2:2" x14ac:dyDescent="0.2">
      <c r="B76" t="s">
        <v>88</v>
      </c>
    </row>
    <row r="77" spans="2:2" x14ac:dyDescent="0.2">
      <c r="B77" t="s">
        <v>84</v>
      </c>
    </row>
    <row r="78" spans="2:2" x14ac:dyDescent="0.2">
      <c r="B78" t="s">
        <v>89</v>
      </c>
    </row>
    <row r="79" spans="2:2" x14ac:dyDescent="0.2">
      <c r="B79" t="s">
        <v>90</v>
      </c>
    </row>
    <row r="80" spans="2:2" x14ac:dyDescent="0.2">
      <c r="B80" t="s">
        <v>91</v>
      </c>
    </row>
  </sheetData>
  <mergeCells count="3">
    <mergeCell ref="B9:B10"/>
    <mergeCell ref="C9:C10"/>
    <mergeCell ref="D9:D10"/>
  </mergeCells>
  <hyperlinks>
    <hyperlink ref="B70" r:id="rId1" display="https://www.gov.br/anp/pt-br/assuntos/precos-e-defesa-da-concorrencia/precos/precos-revenda-e-de-distribuicao-combustiveis/serie-historica-do-levantamento-de-precos" xr:uid="{810F8B14-3E2B-469D-9C88-45E42638FBDB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FB14-12CB-4CDA-BC5A-5005F4B88C03}">
  <dimension ref="B1:F48"/>
  <sheetViews>
    <sheetView showGridLines="0" workbookViewId="0">
      <selection activeCell="G30" sqref="G30"/>
    </sheetView>
  </sheetViews>
  <sheetFormatPr baseColWidth="10" defaultColWidth="8.83203125" defaultRowHeight="15" x14ac:dyDescent="0.2"/>
  <cols>
    <col min="2" max="2" width="86.5" customWidth="1"/>
    <col min="3" max="4" width="18.33203125" customWidth="1"/>
  </cols>
  <sheetData>
    <row r="1" spans="2:6" x14ac:dyDescent="0.2">
      <c r="B1" s="1" t="s">
        <v>0</v>
      </c>
    </row>
    <row r="3" spans="2:6" x14ac:dyDescent="0.2">
      <c r="B3" s="90" t="s">
        <v>36</v>
      </c>
      <c r="C3" s="90"/>
      <c r="D3" s="90"/>
      <c r="E3" s="90"/>
      <c r="F3" s="90"/>
    </row>
    <row r="4" spans="2:6" ht="19" x14ac:dyDescent="0.2">
      <c r="B4" s="11"/>
      <c r="D4" s="3" t="s">
        <v>1</v>
      </c>
      <c r="E4" s="11"/>
      <c r="F4" s="11"/>
    </row>
    <row r="5" spans="2:6" ht="19" x14ac:dyDescent="0.2">
      <c r="B5" s="27" t="s">
        <v>27</v>
      </c>
      <c r="C5" s="23">
        <v>2023</v>
      </c>
      <c r="D5" s="23">
        <v>2024</v>
      </c>
      <c r="E5" s="11"/>
      <c r="F5" s="11"/>
    </row>
    <row r="6" spans="2:6" x14ac:dyDescent="0.2">
      <c r="B6" s="83" t="s">
        <v>5</v>
      </c>
      <c r="C6" s="80" t="s">
        <v>9</v>
      </c>
      <c r="D6" s="80" t="s">
        <v>9</v>
      </c>
    </row>
    <row r="7" spans="2:6" x14ac:dyDescent="0.2">
      <c r="B7" s="83"/>
      <c r="C7" s="80"/>
      <c r="D7" s="80"/>
    </row>
    <row r="8" spans="2:6" x14ac:dyDescent="0.2">
      <c r="B8" s="9" t="s">
        <v>54</v>
      </c>
      <c r="C8" s="60">
        <v>15.368780816471526</v>
      </c>
      <c r="D8" s="60">
        <v>16.56159308054097</v>
      </c>
    </row>
    <row r="9" spans="2:6" x14ac:dyDescent="0.2">
      <c r="B9" s="9" t="s">
        <v>55</v>
      </c>
      <c r="C9" s="60">
        <v>24.278582199870414</v>
      </c>
      <c r="D9" s="60">
        <v>28.075560143201034</v>
      </c>
    </row>
    <row r="10" spans="2:6" x14ac:dyDescent="0.2">
      <c r="B10" s="9" t="s">
        <v>35</v>
      </c>
      <c r="C10" s="60">
        <v>4.3292555219624864</v>
      </c>
      <c r="D10" s="60">
        <v>4.7323869823094782</v>
      </c>
    </row>
    <row r="11" spans="2:6" x14ac:dyDescent="0.2">
      <c r="B11" s="9" t="s">
        <v>56</v>
      </c>
      <c r="C11" s="60">
        <v>19.474973099284018</v>
      </c>
      <c r="D11" s="60">
        <v>20.354266850826505</v>
      </c>
    </row>
    <row r="12" spans="2:6" x14ac:dyDescent="0.2">
      <c r="B12" s="9" t="s">
        <v>57</v>
      </c>
      <c r="C12" s="60">
        <v>0.22216156956218405</v>
      </c>
      <c r="D12" s="60">
        <v>0.22819327989729149</v>
      </c>
    </row>
    <row r="13" spans="2:6" x14ac:dyDescent="0.2">
      <c r="B13" s="9" t="s">
        <v>58</v>
      </c>
      <c r="C13" s="60">
        <v>0.48229616498500655</v>
      </c>
      <c r="D13" s="60">
        <v>0.50663872993809256</v>
      </c>
    </row>
    <row r="16" spans="2:6" x14ac:dyDescent="0.2">
      <c r="B16" s="24"/>
      <c r="D16" s="3" t="s">
        <v>1</v>
      </c>
    </row>
    <row r="17" spans="2:4" x14ac:dyDescent="0.2">
      <c r="B17" s="27" t="s">
        <v>28</v>
      </c>
      <c r="C17" s="23">
        <v>2023</v>
      </c>
      <c r="D17" s="23">
        <v>2024</v>
      </c>
    </row>
    <row r="18" spans="2:4" ht="32" x14ac:dyDescent="0.2">
      <c r="B18" s="14" t="s">
        <v>11</v>
      </c>
      <c r="C18" s="25" t="s">
        <v>10</v>
      </c>
      <c r="D18" s="25" t="s">
        <v>10</v>
      </c>
    </row>
    <row r="19" spans="2:4" ht="16" x14ac:dyDescent="0.2">
      <c r="B19" s="19" t="s">
        <v>37</v>
      </c>
      <c r="C19" s="61">
        <v>0</v>
      </c>
      <c r="D19" s="61">
        <v>0</v>
      </c>
    </row>
    <row r="20" spans="2:4" x14ac:dyDescent="0.2">
      <c r="B20" s="20" t="s">
        <v>38</v>
      </c>
      <c r="C20" s="61">
        <v>0</v>
      </c>
      <c r="D20" s="61">
        <v>0</v>
      </c>
    </row>
    <row r="21" spans="2:4" x14ac:dyDescent="0.2">
      <c r="B21" s="20" t="s">
        <v>39</v>
      </c>
      <c r="C21" s="61">
        <v>0</v>
      </c>
      <c r="D21" s="61">
        <v>0</v>
      </c>
    </row>
    <row r="22" spans="2:4" x14ac:dyDescent="0.2">
      <c r="B22" s="20" t="s">
        <v>40</v>
      </c>
      <c r="C22" s="61">
        <v>0</v>
      </c>
      <c r="D22" s="61">
        <v>0</v>
      </c>
    </row>
    <row r="23" spans="2:4" x14ac:dyDescent="0.2">
      <c r="B23" s="20" t="s">
        <v>41</v>
      </c>
      <c r="C23" s="61">
        <v>0</v>
      </c>
      <c r="D23" s="61">
        <v>0</v>
      </c>
    </row>
    <row r="24" spans="2:4" x14ac:dyDescent="0.2">
      <c r="B24" s="20" t="s">
        <v>42</v>
      </c>
      <c r="C24" s="61">
        <v>9.2543292907207846</v>
      </c>
      <c r="D24" s="61">
        <v>10.04220618533634</v>
      </c>
    </row>
    <row r="25" spans="2:4" x14ac:dyDescent="0.2">
      <c r="B25" s="2" t="s">
        <v>52</v>
      </c>
      <c r="C25" s="61">
        <v>0</v>
      </c>
      <c r="D25" s="61">
        <v>0</v>
      </c>
    </row>
    <row r="28" spans="2:4" x14ac:dyDescent="0.2">
      <c r="B28" s="26" t="s">
        <v>18</v>
      </c>
    </row>
    <row r="29" spans="2:4" x14ac:dyDescent="0.2">
      <c r="B29" s="71" t="s">
        <v>67</v>
      </c>
    </row>
    <row r="30" spans="2:4" x14ac:dyDescent="0.2">
      <c r="B30" s="71" t="s">
        <v>98</v>
      </c>
      <c r="C30" s="75">
        <v>1000000000</v>
      </c>
    </row>
    <row r="31" spans="2:4" x14ac:dyDescent="0.2">
      <c r="B31" s="71"/>
    </row>
    <row r="32" spans="2:4" x14ac:dyDescent="0.2">
      <c r="B32" s="26" t="s">
        <v>19</v>
      </c>
    </row>
    <row r="33" spans="2:2" x14ac:dyDescent="0.2">
      <c r="B33" s="27" t="s">
        <v>20</v>
      </c>
    </row>
    <row r="34" spans="2:2" x14ac:dyDescent="0.2">
      <c r="B34" s="72" t="s">
        <v>65</v>
      </c>
    </row>
    <row r="35" spans="2:2" x14ac:dyDescent="0.2">
      <c r="B35" s="27" t="s">
        <v>21</v>
      </c>
    </row>
    <row r="36" spans="2:2" x14ac:dyDescent="0.2">
      <c r="B36" t="s">
        <v>99</v>
      </c>
    </row>
    <row r="37" spans="2:2" x14ac:dyDescent="0.2">
      <c r="B37" t="s">
        <v>100</v>
      </c>
    </row>
    <row r="39" spans="2:2" x14ac:dyDescent="0.2">
      <c r="B39" s="27" t="s">
        <v>22</v>
      </c>
    </row>
    <row r="40" spans="2:2" x14ac:dyDescent="0.2">
      <c r="B40" t="s">
        <v>101</v>
      </c>
    </row>
    <row r="41" spans="2:2" x14ac:dyDescent="0.2">
      <c r="B41" t="s">
        <v>102</v>
      </c>
    </row>
    <row r="42" spans="2:2" x14ac:dyDescent="0.2">
      <c r="B42" t="s">
        <v>103</v>
      </c>
    </row>
    <row r="44" spans="2:2" x14ac:dyDescent="0.2">
      <c r="B44" s="27" t="s">
        <v>83</v>
      </c>
    </row>
    <row r="45" spans="2:2" x14ac:dyDescent="0.2">
      <c r="B45" t="s">
        <v>104</v>
      </c>
    </row>
    <row r="46" spans="2:2" x14ac:dyDescent="0.2">
      <c r="B46" t="s">
        <v>105</v>
      </c>
    </row>
    <row r="47" spans="2:2" x14ac:dyDescent="0.2">
      <c r="B47" t="s">
        <v>106</v>
      </c>
    </row>
    <row r="48" spans="2:2" x14ac:dyDescent="0.2">
      <c r="B48" t="s">
        <v>107</v>
      </c>
    </row>
  </sheetData>
  <mergeCells count="4">
    <mergeCell ref="B3:F3"/>
    <mergeCell ref="B6:B7"/>
    <mergeCell ref="C6:C7"/>
    <mergeCell ref="D6:D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A9D5-8754-4EF2-B198-EC8786AFEBE2}">
  <dimension ref="B1:D46"/>
  <sheetViews>
    <sheetView showGridLines="0" workbookViewId="0">
      <selection activeCell="I21" sqref="I21"/>
    </sheetView>
  </sheetViews>
  <sheetFormatPr baseColWidth="10" defaultColWidth="8.83203125" defaultRowHeight="15" x14ac:dyDescent="0.2"/>
  <cols>
    <col min="2" max="2" width="56.5" customWidth="1"/>
    <col min="3" max="4" width="28.33203125" customWidth="1"/>
  </cols>
  <sheetData>
    <row r="1" spans="2:4" x14ac:dyDescent="0.2">
      <c r="B1" s="1" t="s">
        <v>0</v>
      </c>
    </row>
    <row r="4" spans="2:4" x14ac:dyDescent="0.2">
      <c r="B4" s="27" t="s">
        <v>53</v>
      </c>
    </row>
    <row r="7" spans="2:4" x14ac:dyDescent="0.2">
      <c r="D7" s="3" t="s">
        <v>1</v>
      </c>
    </row>
    <row r="8" spans="2:4" x14ac:dyDescent="0.2">
      <c r="B8" s="27" t="s">
        <v>114</v>
      </c>
      <c r="C8" s="23">
        <v>2023</v>
      </c>
      <c r="D8" s="23">
        <v>2024</v>
      </c>
    </row>
    <row r="9" spans="2:4" ht="63.75" customHeight="1" x14ac:dyDescent="0.2">
      <c r="B9" s="28" t="s">
        <v>5</v>
      </c>
      <c r="C9" s="22" t="s">
        <v>23</v>
      </c>
      <c r="D9" s="22" t="s">
        <v>23</v>
      </c>
    </row>
    <row r="10" spans="2:4" x14ac:dyDescent="0.2">
      <c r="B10" s="6" t="s">
        <v>8</v>
      </c>
      <c r="C10" s="7"/>
      <c r="D10" s="7"/>
    </row>
    <row r="11" spans="2:4" ht="17.25" customHeight="1" x14ac:dyDescent="0.2">
      <c r="B11" s="8" t="s">
        <v>37</v>
      </c>
      <c r="C11" s="61">
        <v>17.11891703613767</v>
      </c>
      <c r="D11" s="61">
        <v>21.263956533390012</v>
      </c>
    </row>
    <row r="12" spans="2:4" ht="17.25" customHeight="1" x14ac:dyDescent="0.2">
      <c r="B12" s="8" t="s">
        <v>47</v>
      </c>
      <c r="C12" s="61">
        <v>5.3590717442183293E-3</v>
      </c>
      <c r="D12" s="61">
        <v>1.399674045233526E-3</v>
      </c>
    </row>
    <row r="13" spans="2:4" ht="17.25" customHeight="1" x14ac:dyDescent="0.2">
      <c r="B13" s="8" t="s">
        <v>38</v>
      </c>
      <c r="C13" s="61">
        <v>26.279257089944949</v>
      </c>
      <c r="D13" s="61">
        <v>30.150844170011169</v>
      </c>
    </row>
    <row r="14" spans="2:4" ht="17.25" customHeight="1" x14ac:dyDescent="0.2">
      <c r="B14" s="8" t="s">
        <v>48</v>
      </c>
      <c r="C14" s="61">
        <v>0.54370669929434579</v>
      </c>
      <c r="D14" s="61">
        <v>0.38417177217462373</v>
      </c>
    </row>
    <row r="15" spans="2:4" ht="17.25" customHeight="1" x14ac:dyDescent="0.2">
      <c r="B15" s="8" t="s">
        <v>39</v>
      </c>
      <c r="C15" s="61">
        <v>62.100427152037931</v>
      </c>
      <c r="D15" s="61">
        <v>49.346720006507766</v>
      </c>
    </row>
    <row r="16" spans="2:4" ht="17.25" customHeight="1" x14ac:dyDescent="0.2">
      <c r="B16" s="8" t="s">
        <v>51</v>
      </c>
      <c r="C16" s="76">
        <v>0</v>
      </c>
      <c r="D16" s="61">
        <v>7.4329330082430314E-5</v>
      </c>
    </row>
    <row r="17" spans="2:4" ht="17.25" customHeight="1" x14ac:dyDescent="0.2">
      <c r="B17" s="8" t="s">
        <v>49</v>
      </c>
      <c r="C17" s="61">
        <v>5.800658286327329E-4</v>
      </c>
      <c r="D17" s="61">
        <v>1.552956097207704E-2</v>
      </c>
    </row>
    <row r="18" spans="2:4" ht="17.25" customHeight="1" x14ac:dyDescent="0.2">
      <c r="B18" s="8" t="s">
        <v>40</v>
      </c>
      <c r="C18" s="61">
        <v>181.83787835511458</v>
      </c>
      <c r="D18" s="61">
        <v>165.8673528722959</v>
      </c>
    </row>
    <row r="19" spans="2:4" ht="17.25" customHeight="1" x14ac:dyDescent="0.2">
      <c r="B19" s="9" t="s">
        <v>50</v>
      </c>
      <c r="C19" s="61">
        <v>1.7826084261702199E-4</v>
      </c>
      <c r="D19" s="61">
        <v>1.064071629070156E-3</v>
      </c>
    </row>
    <row r="20" spans="2:4" ht="17.25" customHeight="1" x14ac:dyDescent="0.2">
      <c r="B20" s="9" t="s">
        <v>41</v>
      </c>
      <c r="C20" s="61">
        <v>141.24722994951708</v>
      </c>
      <c r="D20" s="61">
        <v>143.38008679057958</v>
      </c>
    </row>
    <row r="21" spans="2:4" ht="17.25" customHeight="1" x14ac:dyDescent="0.2">
      <c r="B21" s="10" t="s">
        <v>42</v>
      </c>
      <c r="C21" s="61">
        <v>3.7601906946413997</v>
      </c>
      <c r="D21" s="61">
        <v>3.5014450209269827</v>
      </c>
    </row>
    <row r="22" spans="2:4" s="21" customFormat="1" ht="17.25" customHeight="1" x14ac:dyDescent="0.2">
      <c r="B22" s="24"/>
      <c r="C22" s="13"/>
      <c r="D22" s="13"/>
    </row>
    <row r="24" spans="2:4" x14ac:dyDescent="0.2">
      <c r="B24" s="26" t="s">
        <v>18</v>
      </c>
    </row>
    <row r="25" spans="2:4" x14ac:dyDescent="0.2">
      <c r="B25" s="71" t="s">
        <v>67</v>
      </c>
    </row>
    <row r="26" spans="2:4" x14ac:dyDescent="0.2">
      <c r="B26" s="71" t="s">
        <v>63</v>
      </c>
    </row>
    <row r="27" spans="2:4" x14ac:dyDescent="0.2">
      <c r="B27" s="27"/>
    </row>
    <row r="28" spans="2:4" x14ac:dyDescent="0.2">
      <c r="B28" s="26" t="s">
        <v>19</v>
      </c>
    </row>
    <row r="29" spans="2:4" x14ac:dyDescent="0.2">
      <c r="B29" s="27" t="s">
        <v>20</v>
      </c>
    </row>
    <row r="30" spans="2:4" x14ac:dyDescent="0.2">
      <c r="B30" s="72" t="s">
        <v>65</v>
      </c>
    </row>
    <row r="31" spans="2:4" x14ac:dyDescent="0.2">
      <c r="B31" s="27" t="s">
        <v>21</v>
      </c>
    </row>
    <row r="32" spans="2:4" x14ac:dyDescent="0.2">
      <c r="B32" t="s">
        <v>92</v>
      </c>
    </row>
    <row r="33" spans="2:2" x14ac:dyDescent="0.2">
      <c r="B33" t="s">
        <v>70</v>
      </c>
    </row>
    <row r="35" spans="2:2" x14ac:dyDescent="0.2">
      <c r="B35" s="27" t="s">
        <v>22</v>
      </c>
    </row>
    <row r="36" spans="2:2" x14ac:dyDescent="0.2">
      <c r="B36" t="s">
        <v>73</v>
      </c>
    </row>
    <row r="37" spans="2:2" x14ac:dyDescent="0.2">
      <c r="B37" t="s">
        <v>94</v>
      </c>
    </row>
    <row r="38" spans="2:2" x14ac:dyDescent="0.2">
      <c r="B38" t="s">
        <v>75</v>
      </c>
    </row>
    <row r="39" spans="2:2" x14ac:dyDescent="0.2">
      <c r="B39" s="77" t="s">
        <v>117</v>
      </c>
    </row>
    <row r="40" spans="2:2" x14ac:dyDescent="0.2">
      <c r="B40" t="s">
        <v>76</v>
      </c>
    </row>
    <row r="41" spans="2:2" x14ac:dyDescent="0.2">
      <c r="B41" t="s">
        <v>95</v>
      </c>
    </row>
    <row r="42" spans="2:2" x14ac:dyDescent="0.2">
      <c r="B42" t="s">
        <v>77</v>
      </c>
    </row>
    <row r="43" spans="2:2" x14ac:dyDescent="0.2">
      <c r="B43" s="73"/>
    </row>
    <row r="44" spans="2:2" x14ac:dyDescent="0.2">
      <c r="B44" s="27" t="s">
        <v>83</v>
      </c>
    </row>
    <row r="45" spans="2:2" x14ac:dyDescent="0.2">
      <c r="B45" t="s">
        <v>96</v>
      </c>
    </row>
    <row r="46" spans="2:2" x14ac:dyDescent="0.2">
      <c r="B46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358E-BC98-4818-86CC-ECE291AD6428}">
  <dimension ref="B1:F35"/>
  <sheetViews>
    <sheetView showGridLines="0" workbookViewId="0">
      <selection activeCell="G23" sqref="G23"/>
    </sheetView>
  </sheetViews>
  <sheetFormatPr baseColWidth="10" defaultColWidth="8.83203125" defaultRowHeight="15" x14ac:dyDescent="0.2"/>
  <cols>
    <col min="2" max="2" width="86.5" customWidth="1"/>
    <col min="3" max="4" width="24.33203125" customWidth="1"/>
  </cols>
  <sheetData>
    <row r="1" spans="2:6" x14ac:dyDescent="0.2">
      <c r="B1" s="1" t="s">
        <v>0</v>
      </c>
    </row>
    <row r="3" spans="2:6" x14ac:dyDescent="0.2">
      <c r="B3" s="90" t="s">
        <v>43</v>
      </c>
      <c r="C3" s="90"/>
      <c r="D3" s="90"/>
      <c r="E3" s="90"/>
      <c r="F3" s="90"/>
    </row>
    <row r="4" spans="2:6" ht="19" x14ac:dyDescent="0.2">
      <c r="B4" s="11"/>
      <c r="D4" s="3" t="s">
        <v>1</v>
      </c>
      <c r="E4" s="11"/>
      <c r="F4" s="11"/>
    </row>
    <row r="5" spans="2:6" ht="19" x14ac:dyDescent="0.2">
      <c r="B5" s="27" t="s">
        <v>44</v>
      </c>
      <c r="C5" s="23">
        <v>2023</v>
      </c>
      <c r="D5" s="23">
        <v>2024</v>
      </c>
      <c r="E5" s="11"/>
      <c r="F5" s="11"/>
    </row>
    <row r="6" spans="2:6" ht="64" customHeight="1" x14ac:dyDescent="0.2">
      <c r="B6" s="28" t="s">
        <v>5</v>
      </c>
      <c r="C6" s="22" t="s">
        <v>23</v>
      </c>
      <c r="D6" s="22" t="s">
        <v>23</v>
      </c>
    </row>
    <row r="7" spans="2:6" x14ac:dyDescent="0.2">
      <c r="B7" s="9" t="s">
        <v>54</v>
      </c>
      <c r="C7" s="60">
        <v>7.684390408235763</v>
      </c>
      <c r="D7" s="60">
        <v>8.2807965402704848</v>
      </c>
    </row>
    <row r="8" spans="2:6" x14ac:dyDescent="0.2">
      <c r="B8" s="9" t="s">
        <v>55</v>
      </c>
      <c r="C8" s="60">
        <v>22.398093367568269</v>
      </c>
      <c r="D8" s="60">
        <v>25.900977753039939</v>
      </c>
    </row>
    <row r="9" spans="2:6" x14ac:dyDescent="0.2">
      <c r="B9" s="9" t="s">
        <v>35</v>
      </c>
      <c r="C9" s="60">
        <v>3.6129727111023096</v>
      </c>
      <c r="D9" s="60">
        <v>3.9560882712511249</v>
      </c>
    </row>
    <row r="10" spans="2:6" x14ac:dyDescent="0.2">
      <c r="B10" s="9" t="s">
        <v>56</v>
      </c>
      <c r="C10" s="60">
        <v>2.4009308060540868</v>
      </c>
      <c r="D10" s="60">
        <v>2.5093326736657482</v>
      </c>
    </row>
    <row r="11" spans="2:6" x14ac:dyDescent="0.2">
      <c r="B11" s="9" t="s">
        <v>57</v>
      </c>
      <c r="C11" s="60">
        <v>0.11653676463858179</v>
      </c>
      <c r="D11" s="60">
        <v>0.11855033991088007</v>
      </c>
    </row>
    <row r="12" spans="2:6" x14ac:dyDescent="0.2">
      <c r="B12" s="9" t="s">
        <v>58</v>
      </c>
      <c r="C12" s="60">
        <v>6.6488617774626169E-2</v>
      </c>
      <c r="D12" s="60">
        <v>6.9844446857094705E-2</v>
      </c>
    </row>
    <row r="16" spans="2:6" x14ac:dyDescent="0.2">
      <c r="B16" s="26" t="s">
        <v>18</v>
      </c>
    </row>
    <row r="17" spans="2:2" x14ac:dyDescent="0.2">
      <c r="B17" s="71" t="s">
        <v>67</v>
      </c>
    </row>
    <row r="18" spans="2:2" x14ac:dyDescent="0.2">
      <c r="B18" s="71" t="s">
        <v>108</v>
      </c>
    </row>
    <row r="19" spans="2:2" x14ac:dyDescent="0.2">
      <c r="B19" s="71"/>
    </row>
    <row r="20" spans="2:2" x14ac:dyDescent="0.2">
      <c r="B20" s="26" t="s">
        <v>19</v>
      </c>
    </row>
    <row r="21" spans="2:2" x14ac:dyDescent="0.2">
      <c r="B21" s="27" t="s">
        <v>20</v>
      </c>
    </row>
    <row r="22" spans="2:2" x14ac:dyDescent="0.2">
      <c r="B22" s="72" t="s">
        <v>65</v>
      </c>
    </row>
    <row r="23" spans="2:2" x14ac:dyDescent="0.2">
      <c r="B23" s="27" t="s">
        <v>21</v>
      </c>
    </row>
    <row r="24" spans="2:2" x14ac:dyDescent="0.2">
      <c r="B24" t="s">
        <v>99</v>
      </c>
    </row>
    <row r="25" spans="2:2" x14ac:dyDescent="0.2">
      <c r="B25" t="s">
        <v>109</v>
      </c>
    </row>
    <row r="27" spans="2:2" x14ac:dyDescent="0.2">
      <c r="B27" s="27" t="s">
        <v>22</v>
      </c>
    </row>
    <row r="28" spans="2:2" x14ac:dyDescent="0.2">
      <c r="B28" t="s">
        <v>101</v>
      </c>
    </row>
    <row r="29" spans="2:2" x14ac:dyDescent="0.2">
      <c r="B29" t="s">
        <v>110</v>
      </c>
    </row>
    <row r="31" spans="2:2" x14ac:dyDescent="0.2">
      <c r="B31" s="27" t="s">
        <v>83</v>
      </c>
    </row>
    <row r="32" spans="2:2" x14ac:dyDescent="0.2">
      <c r="B32" t="s">
        <v>104</v>
      </c>
    </row>
    <row r="33" spans="2:2" x14ac:dyDescent="0.2">
      <c r="B33" t="s">
        <v>111</v>
      </c>
    </row>
    <row r="34" spans="2:2" x14ac:dyDescent="0.2">
      <c r="B34" t="s">
        <v>112</v>
      </c>
    </row>
    <row r="35" spans="2:2" x14ac:dyDescent="0.2">
      <c r="B35" t="s">
        <v>113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7B2E8DDC05D409FC72258ECEA747A" ma:contentTypeVersion="3" ma:contentTypeDescription="Create a new document." ma:contentTypeScope="" ma:versionID="82a2f4c4381b7487dc4a2eea2f33e124">
  <xsd:schema xmlns:xsd="http://www.w3.org/2001/XMLSchema" xmlns:xs="http://www.w3.org/2001/XMLSchema" xmlns:p="http://schemas.microsoft.com/office/2006/metadata/properties" xmlns:ns2="909eeaf0-dbb9-4628-8ff1-b2310c9869c9" targetNamespace="http://schemas.microsoft.com/office/2006/metadata/properties" ma:root="true" ma:fieldsID="5f169d92025e32df61d7e31e10b9bda8" ns2:_="">
    <xsd:import namespace="909eeaf0-dbb9-4628-8ff1-b2310c986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eeaf0-dbb9-4628-8ff1-b2310c986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35F7B9-DCCB-4E4F-8F15-C5330D6CC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9eeaf0-dbb9-4628-8ff1-b2310c986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C5B9F7-AF13-4B58-BB8A-992A899879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15F791-DA95-402F-A4F8-DCD029959D39}">
  <ds:schemaRefs>
    <ds:schemaRef ds:uri="909eeaf0-dbb9-4628-8ff1-b2310c9869c9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AUX_MOD_10</vt:lpstr>
      <vt:lpstr>AUX_MOD_10.1</vt:lpstr>
      <vt:lpstr>AUX_MOD_10.2</vt:lpstr>
      <vt:lpstr>AUX_MOD_10.3</vt:lpstr>
      <vt:lpstr>AUX_MOD_10.4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Rogerio Vasconcelos</dc:creator>
  <cp:lastModifiedBy>Thiago Marques Fernandes</cp:lastModifiedBy>
  <dcterms:created xsi:type="dcterms:W3CDTF">2025-09-04T10:36:24Z</dcterms:created>
  <dcterms:modified xsi:type="dcterms:W3CDTF">2026-05-17T19:15:32Z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0x010100FD27B2E8DDC05D409FC72258ECEA747A</vt:lpwstr>
  </property>
</Properties>
</file>