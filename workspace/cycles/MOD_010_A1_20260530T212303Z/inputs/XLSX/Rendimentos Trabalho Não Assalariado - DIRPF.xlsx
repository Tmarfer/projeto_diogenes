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tcucloud-my.sharepoint.com/personal/marquesf_tcu_gov_br/Documents/4-CalculoCBS2027/1-RECEITAS_RECEITA_FEDERAL/MOD_010_Pessoa_Fisica/ENTREGA/2026_04_27/01_ENTRADA_COPIADA/Demais Pessoas Físicas/"/>
    </mc:Choice>
  </mc:AlternateContent>
  <xr:revisionPtr revIDLastSave="3" documentId="13_ncr:1_{2BD0D13A-CEEB-4C58-A9B6-4B133F038931}" xr6:coauthVersionLast="47" xr6:coauthVersionMax="47" xr10:uidLastSave="{160B07A1-0970-C34F-A573-993A74D9DB73}"/>
  <bookViews>
    <workbookView minimized="1" xWindow="0" yWindow="600" windowWidth="51200" windowHeight="21000" tabRatio="889" activeTab="1" xr2:uid="{00000000-000D-0000-FFFF-FFFF00000000}"/>
  </bookViews>
  <sheets>
    <sheet name="Leia-me" sheetId="3" r:id="rId1"/>
    <sheet name="Rend Trab Não Assalariado" sheetId="1" r:id="rId2"/>
    <sheet name="Correção Ocup Não Determinadas" sheetId="2" r:id="rId3"/>
    <sheet name="Totais Rend TNA por Categoria" sheetId="4" r:id="rId4"/>
    <sheet name="estimativa bc débitos" sheetId="5" r:id="rId5"/>
  </sheets>
  <externalReferences>
    <externalReference r:id="rId6"/>
    <externalReference r:id="rId7"/>
  </externalReferences>
  <definedNames>
    <definedName name="_xlnm._FilterDatabase" localSheetId="3" hidden="1">'Totais Rend TNA por Categoria'!$A$2:$E$140</definedName>
  </definedName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5" l="1"/>
  <c r="S9" i="5"/>
  <c r="E9" i="5"/>
  <c r="J9" i="5" s="1"/>
  <c r="F9" i="5"/>
  <c r="I9" i="5" l="1"/>
  <c r="E142" i="4"/>
  <c r="D14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Q4" i="5" s="1"/>
  <c r="S4" i="5" s="1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Q6" i="5" s="1"/>
  <c r="S6" i="5" s="1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Q9" i="5" s="1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R4" i="5" s="1"/>
  <c r="T4" i="5" s="1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R9" i="5" s="1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3" i="4"/>
  <c r="N3" i="4"/>
  <c r="R7" i="5" l="1"/>
  <c r="T7" i="5" s="1"/>
  <c r="Q3" i="5"/>
  <c r="S3" i="5" s="1"/>
  <c r="R8" i="5"/>
  <c r="T8" i="5" s="1"/>
  <c r="R6" i="5"/>
  <c r="T6" i="5" s="1"/>
  <c r="O142" i="4"/>
  <c r="Q5" i="5"/>
  <c r="S5" i="5" s="1"/>
  <c r="S10" i="5" s="1"/>
  <c r="Q7" i="5"/>
  <c r="S7" i="5" s="1"/>
  <c r="Q8" i="5"/>
  <c r="S8" i="5" s="1"/>
  <c r="R5" i="5"/>
  <c r="T5" i="5" s="1"/>
  <c r="R3" i="5"/>
  <c r="T3" i="5" s="1"/>
  <c r="T10" i="5" s="1"/>
  <c r="N142" i="4"/>
  <c r="Q10" i="5"/>
  <c r="Q11" i="5" s="1"/>
  <c r="Q12" i="5"/>
  <c r="J4" i="4"/>
  <c r="K4" i="4" s="1"/>
  <c r="J5" i="4"/>
  <c r="K5" i="4" s="1"/>
  <c r="J6" i="4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J31" i="4"/>
  <c r="J32" i="4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J53" i="4"/>
  <c r="K53" i="4" s="1"/>
  <c r="J54" i="4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J68" i="4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3" i="4"/>
  <c r="K3" i="4" s="1"/>
  <c r="K6" i="4"/>
  <c r="K19" i="4"/>
  <c r="K30" i="4"/>
  <c r="K31" i="4"/>
  <c r="K32" i="4"/>
  <c r="K52" i="4"/>
  <c r="K54" i="4"/>
  <c r="K67" i="4"/>
  <c r="K68" i="4"/>
  <c r="K114" i="4"/>
  <c r="R12" i="5" l="1"/>
  <c r="R10" i="5"/>
  <c r="R11" i="5" s="1"/>
  <c r="D4" i="4"/>
  <c r="L4" i="4" s="1"/>
  <c r="E4" i="4"/>
  <c r="M4" i="4" s="1"/>
  <c r="D3" i="4"/>
  <c r="E3" i="4"/>
  <c r="E5" i="4"/>
  <c r="M5" i="4" s="1"/>
  <c r="E6" i="4"/>
  <c r="M6" i="4" s="1"/>
  <c r="E7" i="4"/>
  <c r="M7" i="4" s="1"/>
  <c r="E8" i="4"/>
  <c r="M8" i="4" s="1"/>
  <c r="E9" i="4"/>
  <c r="M9" i="4" s="1"/>
  <c r="E10" i="4"/>
  <c r="M10" i="4" s="1"/>
  <c r="E11" i="4"/>
  <c r="M11" i="4" s="1"/>
  <c r="E12" i="4"/>
  <c r="M12" i="4" s="1"/>
  <c r="E13" i="4"/>
  <c r="M13" i="4" s="1"/>
  <c r="E14" i="4"/>
  <c r="M14" i="4" s="1"/>
  <c r="E15" i="4"/>
  <c r="M15" i="4" s="1"/>
  <c r="E16" i="4"/>
  <c r="M16" i="4" s="1"/>
  <c r="E17" i="4"/>
  <c r="M17" i="4" s="1"/>
  <c r="E18" i="4"/>
  <c r="M18" i="4" s="1"/>
  <c r="E19" i="4"/>
  <c r="M19" i="4" s="1"/>
  <c r="E20" i="4"/>
  <c r="M20" i="4" s="1"/>
  <c r="E21" i="4"/>
  <c r="M21" i="4" s="1"/>
  <c r="E22" i="4"/>
  <c r="M22" i="4" s="1"/>
  <c r="E23" i="4"/>
  <c r="M23" i="4" s="1"/>
  <c r="E24" i="4"/>
  <c r="M24" i="4" s="1"/>
  <c r="E25" i="4"/>
  <c r="M25" i="4" s="1"/>
  <c r="L4" i="5" s="1"/>
  <c r="O4" i="5" s="1"/>
  <c r="E26" i="4"/>
  <c r="M26" i="4" s="1"/>
  <c r="E27" i="4"/>
  <c r="M27" i="4" s="1"/>
  <c r="E28" i="4"/>
  <c r="M28" i="4" s="1"/>
  <c r="E29" i="4"/>
  <c r="M29" i="4" s="1"/>
  <c r="E30" i="4"/>
  <c r="M30" i="4" s="1"/>
  <c r="E31" i="4"/>
  <c r="M31" i="4" s="1"/>
  <c r="E32" i="4"/>
  <c r="M32" i="4" s="1"/>
  <c r="E33" i="4"/>
  <c r="M33" i="4" s="1"/>
  <c r="E34" i="4"/>
  <c r="M34" i="4" s="1"/>
  <c r="E35" i="4"/>
  <c r="M35" i="4" s="1"/>
  <c r="E36" i="4"/>
  <c r="M36" i="4" s="1"/>
  <c r="E37" i="4"/>
  <c r="M37" i="4" s="1"/>
  <c r="E38" i="4"/>
  <c r="M38" i="4" s="1"/>
  <c r="E39" i="4"/>
  <c r="M39" i="4" s="1"/>
  <c r="E40" i="4"/>
  <c r="M40" i="4" s="1"/>
  <c r="E41" i="4"/>
  <c r="M41" i="4" s="1"/>
  <c r="E42" i="4"/>
  <c r="M42" i="4" s="1"/>
  <c r="E43" i="4"/>
  <c r="M43" i="4" s="1"/>
  <c r="E44" i="4"/>
  <c r="M44" i="4" s="1"/>
  <c r="E45" i="4"/>
  <c r="M45" i="4" s="1"/>
  <c r="E46" i="4"/>
  <c r="M46" i="4" s="1"/>
  <c r="E47" i="4"/>
  <c r="M47" i="4" s="1"/>
  <c r="E48" i="4"/>
  <c r="M48" i="4" s="1"/>
  <c r="E49" i="4"/>
  <c r="M49" i="4" s="1"/>
  <c r="E50" i="4"/>
  <c r="M50" i="4" s="1"/>
  <c r="E51" i="4"/>
  <c r="M51" i="4" s="1"/>
  <c r="E52" i="4"/>
  <c r="M52" i="4" s="1"/>
  <c r="E53" i="4"/>
  <c r="M53" i="4" s="1"/>
  <c r="E54" i="4"/>
  <c r="M54" i="4" s="1"/>
  <c r="E55" i="4"/>
  <c r="M55" i="4" s="1"/>
  <c r="E56" i="4"/>
  <c r="M56" i="4" s="1"/>
  <c r="E57" i="4"/>
  <c r="M57" i="4" s="1"/>
  <c r="E58" i="4"/>
  <c r="M58" i="4" s="1"/>
  <c r="E59" i="4"/>
  <c r="M59" i="4" s="1"/>
  <c r="E60" i="4"/>
  <c r="M60" i="4" s="1"/>
  <c r="E61" i="4"/>
  <c r="M61" i="4" s="1"/>
  <c r="E62" i="4"/>
  <c r="M62" i="4" s="1"/>
  <c r="E63" i="4"/>
  <c r="M63" i="4" s="1"/>
  <c r="E64" i="4"/>
  <c r="M64" i="4" s="1"/>
  <c r="E65" i="4"/>
  <c r="M65" i="4" s="1"/>
  <c r="E66" i="4"/>
  <c r="M66" i="4" s="1"/>
  <c r="E67" i="4"/>
  <c r="M67" i="4" s="1"/>
  <c r="E68" i="4"/>
  <c r="M68" i="4" s="1"/>
  <c r="E69" i="4"/>
  <c r="M69" i="4" s="1"/>
  <c r="E70" i="4"/>
  <c r="M70" i="4" s="1"/>
  <c r="E71" i="4"/>
  <c r="M71" i="4" s="1"/>
  <c r="E72" i="4"/>
  <c r="M72" i="4" s="1"/>
  <c r="E73" i="4"/>
  <c r="M73" i="4" s="1"/>
  <c r="E74" i="4"/>
  <c r="M74" i="4" s="1"/>
  <c r="E75" i="4"/>
  <c r="M75" i="4" s="1"/>
  <c r="E76" i="4"/>
  <c r="M76" i="4" s="1"/>
  <c r="E77" i="4"/>
  <c r="M77" i="4" s="1"/>
  <c r="E78" i="4"/>
  <c r="M78" i="4" s="1"/>
  <c r="E79" i="4"/>
  <c r="M79" i="4" s="1"/>
  <c r="E80" i="4"/>
  <c r="M80" i="4" s="1"/>
  <c r="E81" i="4"/>
  <c r="M81" i="4" s="1"/>
  <c r="E82" i="4"/>
  <c r="M82" i="4" s="1"/>
  <c r="E83" i="4"/>
  <c r="M83" i="4" s="1"/>
  <c r="E84" i="4"/>
  <c r="M84" i="4" s="1"/>
  <c r="E85" i="4"/>
  <c r="M85" i="4" s="1"/>
  <c r="E86" i="4"/>
  <c r="M86" i="4" s="1"/>
  <c r="E87" i="4"/>
  <c r="M87" i="4" s="1"/>
  <c r="E88" i="4"/>
  <c r="M88" i="4" s="1"/>
  <c r="E89" i="4"/>
  <c r="M89" i="4" s="1"/>
  <c r="E90" i="4"/>
  <c r="M90" i="4" s="1"/>
  <c r="E91" i="4"/>
  <c r="M91" i="4" s="1"/>
  <c r="E92" i="4"/>
  <c r="M92" i="4" s="1"/>
  <c r="E93" i="4"/>
  <c r="M93" i="4" s="1"/>
  <c r="E94" i="4"/>
  <c r="M94" i="4" s="1"/>
  <c r="E95" i="4"/>
  <c r="M95" i="4" s="1"/>
  <c r="E96" i="4"/>
  <c r="M96" i="4" s="1"/>
  <c r="E97" i="4"/>
  <c r="M97" i="4" s="1"/>
  <c r="E98" i="4"/>
  <c r="M98" i="4" s="1"/>
  <c r="E99" i="4"/>
  <c r="M99" i="4" s="1"/>
  <c r="E100" i="4"/>
  <c r="M100" i="4" s="1"/>
  <c r="E101" i="4"/>
  <c r="M101" i="4" s="1"/>
  <c r="E102" i="4"/>
  <c r="M102" i="4" s="1"/>
  <c r="E103" i="4"/>
  <c r="M103" i="4" s="1"/>
  <c r="E104" i="4"/>
  <c r="M104" i="4" s="1"/>
  <c r="E105" i="4"/>
  <c r="M105" i="4" s="1"/>
  <c r="E106" i="4"/>
  <c r="M106" i="4" s="1"/>
  <c r="E107" i="4"/>
  <c r="M107" i="4" s="1"/>
  <c r="E108" i="4"/>
  <c r="M108" i="4" s="1"/>
  <c r="E109" i="4"/>
  <c r="M109" i="4" s="1"/>
  <c r="E110" i="4"/>
  <c r="M110" i="4" s="1"/>
  <c r="E111" i="4"/>
  <c r="M111" i="4" s="1"/>
  <c r="E112" i="4"/>
  <c r="M112" i="4" s="1"/>
  <c r="E113" i="4"/>
  <c r="M113" i="4" s="1"/>
  <c r="E114" i="4"/>
  <c r="M114" i="4" s="1"/>
  <c r="E115" i="4"/>
  <c r="M115" i="4" s="1"/>
  <c r="E116" i="4"/>
  <c r="M116" i="4" s="1"/>
  <c r="E117" i="4"/>
  <c r="M117" i="4" s="1"/>
  <c r="E118" i="4"/>
  <c r="M118" i="4" s="1"/>
  <c r="L9" i="5" s="1"/>
  <c r="M9" i="5" s="1"/>
  <c r="E119" i="4"/>
  <c r="M119" i="4" s="1"/>
  <c r="E120" i="4"/>
  <c r="M120" i="4" s="1"/>
  <c r="E121" i="4"/>
  <c r="M121" i="4" s="1"/>
  <c r="E122" i="4"/>
  <c r="M122" i="4" s="1"/>
  <c r="E123" i="4"/>
  <c r="M123" i="4" s="1"/>
  <c r="E124" i="4"/>
  <c r="M124" i="4" s="1"/>
  <c r="E125" i="4"/>
  <c r="M125" i="4" s="1"/>
  <c r="E126" i="4"/>
  <c r="M126" i="4" s="1"/>
  <c r="E127" i="4"/>
  <c r="M127" i="4" s="1"/>
  <c r="E128" i="4"/>
  <c r="M128" i="4" s="1"/>
  <c r="E129" i="4"/>
  <c r="M129" i="4" s="1"/>
  <c r="E130" i="4"/>
  <c r="M130" i="4" s="1"/>
  <c r="E131" i="4"/>
  <c r="M131" i="4" s="1"/>
  <c r="E132" i="4"/>
  <c r="M132" i="4" s="1"/>
  <c r="E133" i="4"/>
  <c r="M133" i="4" s="1"/>
  <c r="E134" i="4"/>
  <c r="M134" i="4" s="1"/>
  <c r="E135" i="4"/>
  <c r="M135" i="4" s="1"/>
  <c r="E136" i="4"/>
  <c r="M136" i="4" s="1"/>
  <c r="E137" i="4"/>
  <c r="M137" i="4" s="1"/>
  <c r="E138" i="4"/>
  <c r="M138" i="4" s="1"/>
  <c r="E139" i="4"/>
  <c r="M139" i="4" s="1"/>
  <c r="E140" i="4"/>
  <c r="D5" i="4"/>
  <c r="L5" i="4" s="1"/>
  <c r="D6" i="4"/>
  <c r="L6" i="4" s="1"/>
  <c r="D7" i="4"/>
  <c r="L7" i="4" s="1"/>
  <c r="D8" i="4"/>
  <c r="L8" i="4" s="1"/>
  <c r="D9" i="4"/>
  <c r="L9" i="4" s="1"/>
  <c r="D10" i="4"/>
  <c r="L10" i="4" s="1"/>
  <c r="D11" i="4"/>
  <c r="L11" i="4" s="1"/>
  <c r="D12" i="4"/>
  <c r="L12" i="4" s="1"/>
  <c r="D13" i="4"/>
  <c r="L13" i="4" s="1"/>
  <c r="D14" i="4"/>
  <c r="L14" i="4" s="1"/>
  <c r="D15" i="4"/>
  <c r="L15" i="4" s="1"/>
  <c r="D16" i="4"/>
  <c r="L16" i="4" s="1"/>
  <c r="D17" i="4"/>
  <c r="L17" i="4" s="1"/>
  <c r="D18" i="4"/>
  <c r="L18" i="4" s="1"/>
  <c r="D19" i="4"/>
  <c r="L19" i="4" s="1"/>
  <c r="D20" i="4"/>
  <c r="L20" i="4" s="1"/>
  <c r="D21" i="4"/>
  <c r="L21" i="4" s="1"/>
  <c r="D22" i="4"/>
  <c r="L22" i="4" s="1"/>
  <c r="D23" i="4"/>
  <c r="L23" i="4" s="1"/>
  <c r="D24" i="4"/>
  <c r="L24" i="4" s="1"/>
  <c r="D25" i="4"/>
  <c r="L25" i="4" s="1"/>
  <c r="K4" i="5" s="1"/>
  <c r="N4" i="5" s="1"/>
  <c r="D26" i="4"/>
  <c r="L26" i="4" s="1"/>
  <c r="D27" i="4"/>
  <c r="L27" i="4" s="1"/>
  <c r="D28" i="4"/>
  <c r="L28" i="4" s="1"/>
  <c r="D29" i="4"/>
  <c r="L29" i="4" s="1"/>
  <c r="D30" i="4"/>
  <c r="L30" i="4" s="1"/>
  <c r="D31" i="4"/>
  <c r="L31" i="4" s="1"/>
  <c r="D32" i="4"/>
  <c r="L32" i="4" s="1"/>
  <c r="D33" i="4"/>
  <c r="L33" i="4" s="1"/>
  <c r="D34" i="4"/>
  <c r="L34" i="4" s="1"/>
  <c r="D35" i="4"/>
  <c r="L35" i="4" s="1"/>
  <c r="D36" i="4"/>
  <c r="L36" i="4" s="1"/>
  <c r="D37" i="4"/>
  <c r="L37" i="4" s="1"/>
  <c r="D38" i="4"/>
  <c r="L38" i="4" s="1"/>
  <c r="D39" i="4"/>
  <c r="L39" i="4" s="1"/>
  <c r="D40" i="4"/>
  <c r="L40" i="4" s="1"/>
  <c r="D41" i="4"/>
  <c r="L41" i="4" s="1"/>
  <c r="D42" i="4"/>
  <c r="L42" i="4" s="1"/>
  <c r="D43" i="4"/>
  <c r="L43" i="4" s="1"/>
  <c r="D44" i="4"/>
  <c r="L44" i="4" s="1"/>
  <c r="D45" i="4"/>
  <c r="L45" i="4" s="1"/>
  <c r="D46" i="4"/>
  <c r="L46" i="4" s="1"/>
  <c r="D47" i="4"/>
  <c r="L47" i="4" s="1"/>
  <c r="D48" i="4"/>
  <c r="L48" i="4" s="1"/>
  <c r="D49" i="4"/>
  <c r="L49" i="4" s="1"/>
  <c r="D50" i="4"/>
  <c r="L50" i="4" s="1"/>
  <c r="D51" i="4"/>
  <c r="L51" i="4" s="1"/>
  <c r="D52" i="4"/>
  <c r="L52" i="4" s="1"/>
  <c r="D53" i="4"/>
  <c r="L53" i="4" s="1"/>
  <c r="D54" i="4"/>
  <c r="L54" i="4" s="1"/>
  <c r="D55" i="4"/>
  <c r="L55" i="4" s="1"/>
  <c r="D56" i="4"/>
  <c r="L56" i="4" s="1"/>
  <c r="D57" i="4"/>
  <c r="L57" i="4" s="1"/>
  <c r="D58" i="4"/>
  <c r="L58" i="4" s="1"/>
  <c r="D59" i="4"/>
  <c r="L59" i="4" s="1"/>
  <c r="D60" i="4"/>
  <c r="L60" i="4" s="1"/>
  <c r="D61" i="4"/>
  <c r="L61" i="4" s="1"/>
  <c r="D62" i="4"/>
  <c r="L62" i="4" s="1"/>
  <c r="D63" i="4"/>
  <c r="L63" i="4" s="1"/>
  <c r="D64" i="4"/>
  <c r="L64" i="4" s="1"/>
  <c r="D65" i="4"/>
  <c r="L65" i="4" s="1"/>
  <c r="D66" i="4"/>
  <c r="L66" i="4" s="1"/>
  <c r="D67" i="4"/>
  <c r="L67" i="4" s="1"/>
  <c r="D68" i="4"/>
  <c r="L68" i="4" s="1"/>
  <c r="D69" i="4"/>
  <c r="L69" i="4" s="1"/>
  <c r="D70" i="4"/>
  <c r="L70" i="4" s="1"/>
  <c r="D71" i="4"/>
  <c r="L71" i="4" s="1"/>
  <c r="D72" i="4"/>
  <c r="L72" i="4" s="1"/>
  <c r="D73" i="4"/>
  <c r="L73" i="4" s="1"/>
  <c r="D74" i="4"/>
  <c r="L74" i="4" s="1"/>
  <c r="D75" i="4"/>
  <c r="L75" i="4" s="1"/>
  <c r="D76" i="4"/>
  <c r="L76" i="4" s="1"/>
  <c r="D77" i="4"/>
  <c r="L77" i="4" s="1"/>
  <c r="D78" i="4"/>
  <c r="L78" i="4" s="1"/>
  <c r="D79" i="4"/>
  <c r="L79" i="4" s="1"/>
  <c r="D80" i="4"/>
  <c r="L80" i="4" s="1"/>
  <c r="D81" i="4"/>
  <c r="L81" i="4" s="1"/>
  <c r="D82" i="4"/>
  <c r="L82" i="4" s="1"/>
  <c r="D83" i="4"/>
  <c r="L83" i="4" s="1"/>
  <c r="D84" i="4"/>
  <c r="L84" i="4" s="1"/>
  <c r="D85" i="4"/>
  <c r="L85" i="4" s="1"/>
  <c r="D86" i="4"/>
  <c r="L86" i="4" s="1"/>
  <c r="D87" i="4"/>
  <c r="L87" i="4" s="1"/>
  <c r="D88" i="4"/>
  <c r="L88" i="4" s="1"/>
  <c r="D89" i="4"/>
  <c r="L89" i="4" s="1"/>
  <c r="D90" i="4"/>
  <c r="L90" i="4" s="1"/>
  <c r="D91" i="4"/>
  <c r="L91" i="4" s="1"/>
  <c r="D92" i="4"/>
  <c r="L92" i="4" s="1"/>
  <c r="D93" i="4"/>
  <c r="L93" i="4" s="1"/>
  <c r="D94" i="4"/>
  <c r="L94" i="4" s="1"/>
  <c r="D95" i="4"/>
  <c r="L95" i="4" s="1"/>
  <c r="D96" i="4"/>
  <c r="L96" i="4" s="1"/>
  <c r="D97" i="4"/>
  <c r="L97" i="4" s="1"/>
  <c r="D98" i="4"/>
  <c r="L98" i="4" s="1"/>
  <c r="D99" i="4"/>
  <c r="L99" i="4" s="1"/>
  <c r="D100" i="4"/>
  <c r="L100" i="4" s="1"/>
  <c r="D101" i="4"/>
  <c r="L101" i="4" s="1"/>
  <c r="D102" i="4"/>
  <c r="L102" i="4" s="1"/>
  <c r="D103" i="4"/>
  <c r="L103" i="4" s="1"/>
  <c r="D104" i="4"/>
  <c r="L104" i="4" s="1"/>
  <c r="D105" i="4"/>
  <c r="L105" i="4" s="1"/>
  <c r="D106" i="4"/>
  <c r="L106" i="4" s="1"/>
  <c r="D107" i="4"/>
  <c r="L107" i="4" s="1"/>
  <c r="D108" i="4"/>
  <c r="L108" i="4" s="1"/>
  <c r="D109" i="4"/>
  <c r="L109" i="4" s="1"/>
  <c r="D110" i="4"/>
  <c r="L110" i="4" s="1"/>
  <c r="D111" i="4"/>
  <c r="L111" i="4" s="1"/>
  <c r="D112" i="4"/>
  <c r="L112" i="4" s="1"/>
  <c r="D113" i="4"/>
  <c r="L113" i="4" s="1"/>
  <c r="D114" i="4"/>
  <c r="L114" i="4" s="1"/>
  <c r="D115" i="4"/>
  <c r="L115" i="4" s="1"/>
  <c r="D116" i="4"/>
  <c r="L116" i="4" s="1"/>
  <c r="D117" i="4"/>
  <c r="L117" i="4" s="1"/>
  <c r="D118" i="4"/>
  <c r="L118" i="4" s="1"/>
  <c r="K9" i="5" s="1"/>
  <c r="D119" i="4"/>
  <c r="L119" i="4" s="1"/>
  <c r="D120" i="4"/>
  <c r="L120" i="4" s="1"/>
  <c r="D121" i="4"/>
  <c r="L121" i="4" s="1"/>
  <c r="D122" i="4"/>
  <c r="L122" i="4" s="1"/>
  <c r="D123" i="4"/>
  <c r="L123" i="4" s="1"/>
  <c r="D124" i="4"/>
  <c r="L124" i="4" s="1"/>
  <c r="D125" i="4"/>
  <c r="L125" i="4" s="1"/>
  <c r="D126" i="4"/>
  <c r="L126" i="4" s="1"/>
  <c r="D127" i="4"/>
  <c r="L127" i="4" s="1"/>
  <c r="D128" i="4"/>
  <c r="L128" i="4" s="1"/>
  <c r="D129" i="4"/>
  <c r="L129" i="4" s="1"/>
  <c r="D130" i="4"/>
  <c r="L130" i="4" s="1"/>
  <c r="D131" i="4"/>
  <c r="L131" i="4" s="1"/>
  <c r="D132" i="4"/>
  <c r="L132" i="4" s="1"/>
  <c r="D133" i="4"/>
  <c r="L133" i="4" s="1"/>
  <c r="D134" i="4"/>
  <c r="L134" i="4" s="1"/>
  <c r="D135" i="4"/>
  <c r="L135" i="4" s="1"/>
  <c r="D136" i="4"/>
  <c r="L136" i="4" s="1"/>
  <c r="D137" i="4"/>
  <c r="L137" i="4" s="1"/>
  <c r="D138" i="4"/>
  <c r="L138" i="4" s="1"/>
  <c r="D139" i="4"/>
  <c r="L139" i="4" s="1"/>
  <c r="D140" i="4"/>
  <c r="M142" i="4" l="1"/>
  <c r="L142" i="4"/>
  <c r="L7" i="5"/>
  <c r="O7" i="5" s="1"/>
  <c r="K7" i="5"/>
  <c r="N7" i="5" s="1"/>
  <c r="K5" i="5"/>
  <c r="N5" i="5" s="1"/>
  <c r="L8" i="5"/>
  <c r="O8" i="5" s="1"/>
  <c r="L5" i="5"/>
  <c r="O5" i="5" s="1"/>
  <c r="K8" i="5"/>
  <c r="N8" i="5" s="1"/>
  <c r="L6" i="5"/>
  <c r="O6" i="5" s="1"/>
  <c r="K3" i="5"/>
  <c r="N3" i="5" s="1"/>
  <c r="L3" i="5"/>
  <c r="O3" i="5" s="1"/>
  <c r="K6" i="5"/>
  <c r="N6" i="5" s="1"/>
  <c r="E4" i="5"/>
  <c r="I4" i="5" s="1"/>
  <c r="F4" i="5"/>
  <c r="F3" i="5"/>
  <c r="J3" i="5" s="1"/>
  <c r="E3" i="5"/>
  <c r="I3" i="5" s="1"/>
  <c r="F6" i="5"/>
  <c r="J6" i="5" s="1"/>
  <c r="F8" i="5"/>
  <c r="J8" i="5" s="1"/>
  <c r="F7" i="5"/>
  <c r="J7" i="5" s="1"/>
  <c r="E8" i="5"/>
  <c r="I8" i="5" s="1"/>
  <c r="E5" i="5"/>
  <c r="I5" i="5" s="1"/>
  <c r="E6" i="5"/>
  <c r="I6" i="5" s="1"/>
  <c r="F5" i="5"/>
  <c r="J5" i="5" s="1"/>
  <c r="E7" i="5"/>
  <c r="I7" i="5" s="1"/>
  <c r="F142" i="2"/>
  <c r="G14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3" i="2"/>
  <c r="C143" i="2"/>
  <c r="B143" i="2"/>
  <c r="C141" i="2"/>
  <c r="B141" i="2"/>
  <c r="C140" i="2"/>
  <c r="B140" i="2"/>
  <c r="O10" i="5" l="1"/>
  <c r="N10" i="5"/>
  <c r="I10" i="5"/>
  <c r="M4" i="5"/>
  <c r="J4" i="5"/>
  <c r="J10" i="5" s="1"/>
  <c r="L10" i="5"/>
  <c r="L11" i="5" s="1"/>
  <c r="M3" i="5"/>
  <c r="M6" i="5"/>
  <c r="K10" i="5"/>
  <c r="K11" i="5" s="1"/>
  <c r="F10" i="5"/>
  <c r="H8" i="5" s="1"/>
  <c r="E10" i="5"/>
  <c r="M7" i="5"/>
  <c r="M8" i="5"/>
  <c r="M5" i="5"/>
  <c r="E11" i="5" l="1"/>
  <c r="G9" i="5"/>
  <c r="G10" i="5"/>
  <c r="F11" i="5"/>
  <c r="H9" i="5"/>
  <c r="M10" i="5"/>
  <c r="G6" i="5"/>
  <c r="G7" i="5"/>
  <c r="H7" i="5"/>
  <c r="G5" i="5"/>
  <c r="G4" i="5"/>
  <c r="G8" i="5"/>
  <c r="G3" i="5"/>
  <c r="H10" i="5"/>
  <c r="H5" i="5"/>
  <c r="H3" i="5"/>
  <c r="H4" i="5"/>
  <c r="H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Machado Berger</author>
  </authors>
  <commentList>
    <comment ref="B44" authorId="0" shapeId="0" xr:uid="{97672411-D429-4560-9302-D867FE0505DD}">
      <text>
        <r>
          <rPr>
            <b/>
            <sz val="9"/>
            <color indexed="81"/>
            <rFont val="Segoe UI"/>
            <family val="2"/>
          </rPr>
          <t>Código deixou de ser utilizado a partir de 2024, sendo desmembrado nos códifos 230,231 e 232</t>
        </r>
      </text>
    </comment>
  </commentList>
</comments>
</file>

<file path=xl/sharedStrings.xml><?xml version="1.0" encoding="utf-8"?>
<sst xmlns="http://schemas.openxmlformats.org/spreadsheetml/2006/main" count="643" uniqueCount="279">
  <si>
    <t>NULL</t>
  </si>
  <si>
    <t>Ano-Calendário</t>
  </si>
  <si>
    <t>Ocupação</t>
  </si>
  <si>
    <t>Total Rendimentos</t>
  </si>
  <si>
    <t>Rótulos de Coluna</t>
  </si>
  <si>
    <t>Total Geral</t>
  </si>
  <si>
    <t>Rótulos de Linha</t>
  </si>
  <si>
    <t>Soma de Total Rendimentos</t>
  </si>
  <si>
    <t>Percentual Corrigido 2023</t>
  </si>
  <si>
    <t>Percentual Corrigido 2024</t>
  </si>
  <si>
    <t>Total Não Determinadas</t>
  </si>
  <si>
    <t>Total Determinadas</t>
  </si>
  <si>
    <t>Percentual Não Determinadas</t>
  </si>
  <si>
    <t>Valor Corrigido 2023</t>
  </si>
  <si>
    <t>Valor Corrigido 2024</t>
  </si>
  <si>
    <t>NA</t>
  </si>
  <si>
    <t>-</t>
  </si>
  <si>
    <t>Planilha</t>
  </si>
  <si>
    <t>Rend Trab Não Assalariado</t>
  </si>
  <si>
    <t>Descrição</t>
  </si>
  <si>
    <t>Correção Ocup Não Determinadas</t>
  </si>
  <si>
    <t>Totais Rend TNA por Categoria</t>
  </si>
  <si>
    <t>Código</t>
  </si>
  <si>
    <t>Categoria</t>
  </si>
  <si>
    <t>OUTRAS OCUPAÇÕES NÃO ESPECIFICADAS ANTERIORMENTE</t>
  </si>
  <si>
    <t>MILITAR DA AERONÁUTICA</t>
  </si>
  <si>
    <t>MILITAR DO EXÉRCITO</t>
  </si>
  <si>
    <t>MILITAR DA MARINHA</t>
  </si>
  <si>
    <t>POLICIAL MILITAR</t>
  </si>
  <si>
    <t>BOMBEIRO MILITAR</t>
  </si>
  <si>
    <t>MEMBRO DO PODER EXECUTIVO (PRESIDENTE DA REPÚBLICA, VICE-PRESIDENTE DA REPÚBLICA, MINISTRO DE ESTADO, GOVERNADOR, VICE-GOVERNADOR, PREFEITO, VICE-PREFEITO)</t>
  </si>
  <si>
    <t>MEMBRO DO PODER JUDICIÁRIO (MINISTRO, JUIZ E DESEMBARGADOR) E DE TRIBUNAL DE CONTAS (MINISTRO E CONSELHEIRO)</t>
  </si>
  <si>
    <t>MEMBRO DO PODER LEGISLATIVO (SENADOR, DEPUTADO FEDERAL, DEPUTADO ESTADUAL E VEREADOR)</t>
  </si>
  <si>
    <t>MEMBRO DO MINISTÉRIO PÚBLICO (PROCURADOR E PROMOTOR)</t>
  </si>
  <si>
    <t>DIRIGENTE SUPERIOR DA ADMINISTRAÇÃO PÚBLICA (OCUPANTE DE CARGO DE DIREÇÃO, CHEFIA, ASSESSORIA E DE NATUREZA ESPECIAL), INCLUSIVE OS DAS FUNDAÇÕES PÚBLICAS E AUTARQUIAS</t>
  </si>
  <si>
    <t>DIPLOMATA E AFINS</t>
  </si>
  <si>
    <t>SERVIDOR DAS CARREIRAS DO PODER LEGISLATIVO</t>
  </si>
  <si>
    <t>SERVIDOR DAS CARREIRAS DO MINISTÉRIO PÚBLICO</t>
  </si>
  <si>
    <t>SERVIDOR DAS CARREIRAS DO PODER JUDICIÁRIO, OFICIAL DE JUSTIÇA, AUXILIAR, ASSISTENTE E ANALISTA JUDICIÁRIO</t>
  </si>
  <si>
    <t>ADVOGADO DO SETOR PÚBLICO, PROCURADOR DA FAZENDA, CONSULTOR JURÍDICO, PROCURADOR DE AUTARQUIAS E FUNDAÇÕES PÚBLICAS, DEFENSOR PÚBLICO</t>
  </si>
  <si>
    <t>SERVIDOR DAS CARREIRAS DE AUDITORIA FISCAL E DE FISCALIZAÇÃO</t>
  </si>
  <si>
    <t>SERVIDOR DAS CARREIRAS DO BANCO CENTRAL, CVM E SUSEP</t>
  </si>
  <si>
    <t>DELEGADO DE POLÍCIA E OUTROS SERVIDORES DAS CARREIRAS DE POLÍCIA, EXCETO MILITAR</t>
  </si>
  <si>
    <t>SERVIDOR DAS CARREIRAS DE GESTÃO GOVERNAMENTAL, ANALISTA, GESTOR E TÉCNICO DE PLANEJAMENTO</t>
  </si>
  <si>
    <t>SERVIDOR DAS CARREIRAS DE CIÊNCIA E TECNOLOGIA</t>
  </si>
  <si>
    <t>SERVIDOR DAS DEMAIS CARREIRAS DA ADMINISTRAÇÃO PÚBLICA DIRETA, AUTÁRQUICA E FUNDACIONAL</t>
  </si>
  <si>
    <t>TITULAR DE CARTÓRIO</t>
  </si>
  <si>
    <t>DIRIGENTE OU ADMINISTRADOR DE PARTIDO POLÍTICO, ORGANIZAÇÃO PATRONAL, SINDICAL, FILANTRÓPICA E RELIGIOSA</t>
  </si>
  <si>
    <t>DIRIGENTE, PRESIDENTE E DIRETOR DE EMPRESA INDUSTRIAL, COMERCIAL OU PRESTADORA DE SERVIÇOS</t>
  </si>
  <si>
    <t>PRESIDENTE E DIRETOR DE EMPRESA PÚBLICA E SOCIEDADE DE ECONOMIA MISTA</t>
  </si>
  <si>
    <t>GERENTE OU SUPERVISOR DE EMPRESA INDUSTRIAL, COMERCIAL OU PRESTADORA DE SERVIÇOS</t>
  </si>
  <si>
    <t>GERENTE OU SUPERVISOR DE EMPRESA PÚBLICA E SOCIEDADE DE ECONOMIA MISTA</t>
  </si>
  <si>
    <t>PRESIDENTE, DIRETOR, GERENTE E SUPERVISOR DE ORGANISMO INTERNACIONAL E DE ORGANIZAÇÃO NÃO-GOVERNAMENTAL</t>
  </si>
  <si>
    <t>MATEMÁTICO, ESTATÍSTICO, ATUÁRIO E AFINS</t>
  </si>
  <si>
    <t>ANALISTA DE SISTEMAS, DESENVOLVEDOR DE SOFTWARE, ADMINISTRADOR DE REDES E BANCOS DE DADOS E OUTROS ESPECIALISTAS EM INFORMÁTICA (EXCETO TÉCNICOS)</t>
  </si>
  <si>
    <t>FÍSICO, QUÍMICO, METEOROLOGISTA, GEÓLOGO, OCEANÓGRAFO E AFINS</t>
  </si>
  <si>
    <t>ENGENHEIRO, ARQUITETO E AFINS</t>
  </si>
  <si>
    <t>PILOTO DE AERONAVES, COMANDANTE DE EMBARCAÇÕES E OFICIAIS DE MÁQUINAS</t>
  </si>
  <si>
    <t>BIÓLOGO, BIOMÉDICO E AFINS</t>
  </si>
  <si>
    <t>AGRÔNOMO E AFINS</t>
  </si>
  <si>
    <t>PROFISSIONAL DA EDUCAÇÃO FÍSICA (EXCETO PROFESSOR)</t>
  </si>
  <si>
    <t>MÉDICO</t>
  </si>
  <si>
    <t>Profissionais de saúde</t>
  </si>
  <si>
    <t>ODONTÓLOGO</t>
  </si>
  <si>
    <t>ENFERMEIRO DE NÍVEL SUPERIOR, NUTRICIONISTA, FARMACÊUTICO E AFINS</t>
  </si>
  <si>
    <t>VETERINÁRIO, PATOLOGISTA (VETERINÁRIO) E ZOOTECNISTA</t>
  </si>
  <si>
    <t>FONOAUDIÓLOGO, FISIOTERAPEUTA, TERAPEUTA OCUPACIONAL E AFINS</t>
  </si>
  <si>
    <t>FONOAUDIÓLOGO</t>
  </si>
  <si>
    <t>FISIOTERAPEUTA</t>
  </si>
  <si>
    <t>TERAPEUTA OCUPACIONAL</t>
  </si>
  <si>
    <t>ADVOGADO</t>
  </si>
  <si>
    <t>SOCIÓLOGO E CIENTISTA POLÍTICO</t>
  </si>
  <si>
    <t>ANTROPÓLOGO E ARQUEÓLOGO</t>
  </si>
  <si>
    <t>ECONOMISTA, ADMINISTRADOR, CONTADOR, AUDITOR E AFINS</t>
  </si>
  <si>
    <t>PROFISSIONAL DE MARKETING, DE PUBLICIDADE E DE COMERCIALIZAÇÃO</t>
  </si>
  <si>
    <t>PSICANALISTA</t>
  </si>
  <si>
    <t>PSICÓLOGO</t>
  </si>
  <si>
    <t>GEÓGRAFO</t>
  </si>
  <si>
    <t>HISTORIADOR</t>
  </si>
  <si>
    <t>ASSISTENTE SOCIAL E ECONOMISTA DOMÉSTICO</t>
  </si>
  <si>
    <t>FILÓSOFO</t>
  </si>
  <si>
    <t>JORNALISTA E REPÓRTER</t>
  </si>
  <si>
    <t>LC 214/2025, art 139</t>
  </si>
  <si>
    <t>SACERDOTE OU MEMBRO DE ORDENS OU SEITAS RELIGIOSAS</t>
  </si>
  <si>
    <t>TRADUTOR, INTÉRPRETE, FILÓLOGO</t>
  </si>
  <si>
    <t>BIBLIOTECÁRIO, DOCUMENTALISTA, ARQUIVÓLOGO, MUSEÓLOGO</t>
  </si>
  <si>
    <t>ESCRITOR, CRÍTICO, REDATOR</t>
  </si>
  <si>
    <t>LOCUTOR, COMENTARISTA</t>
  </si>
  <si>
    <t>ATOR, DIRETOR DE ESPETÁCULOS</t>
  </si>
  <si>
    <t>CANTOR E COMPOSITOR</t>
  </si>
  <si>
    <t>MÚSICO, ARRANJADOR, REGENTE DE ORQUESTRA OU CORAL</t>
  </si>
  <si>
    <t>DESENHISTA INDUSTRIAL (DESIGNER), ESCULTOR, PINTOR ARTÍSTICO E AFINS</t>
  </si>
  <si>
    <t>CENÓGRAFO, DECORADOR DE INTERIORES</t>
  </si>
  <si>
    <t>EMPRESÁRIO E PRODUTOR DE ESPETÁCULOS</t>
  </si>
  <si>
    <t>OUTROS PROFISSIONAIS DO ESPETÁCULO E DAS ARTES</t>
  </si>
  <si>
    <t>PROFESSOR NA EDUCAÇÃO INFANTIL</t>
  </si>
  <si>
    <t>LC 214/2025, art 129</t>
  </si>
  <si>
    <t>PROFESSOR DO ENSINO FUNDAMENTAL</t>
  </si>
  <si>
    <t>PROFESSOR DO ENSINO MÉDIO</t>
  </si>
  <si>
    <t>PROFESSOR DO ENSINO PROFISSIONAL</t>
  </si>
  <si>
    <t>PROFESSOR DO ENSINO SUPERIOR</t>
  </si>
  <si>
    <t>INSTRUTOR E PROFESSOR DE ESCOLAS LIVRES</t>
  </si>
  <si>
    <t>PEDAGOGO, ORIENTADOR EDUCACIONAL</t>
  </si>
  <si>
    <t>TÉCNICO EM CIÊNCIAS FÍSICAS E QUÍMICAS</t>
  </si>
  <si>
    <t>TÉCNICO EM CONSTRUÇÃO CIVIL, DE EDIFICAÇÕES E OBRAS DE INFRA-ESTRUTURA</t>
  </si>
  <si>
    <t>TÉCNICO EM ELETRO-ELETRÔNICA E FOTÔNICA</t>
  </si>
  <si>
    <t>TÉCNICO EM METALMECÂNICA</t>
  </si>
  <si>
    <t>TÉCNICO EM MINERALOGIA E GEOLOGIA</t>
  </si>
  <si>
    <t>TÉCNICO EM INFORMÁTICA</t>
  </si>
  <si>
    <t>DESENHISTA TÉCNICO E MODELISTA</t>
  </si>
  <si>
    <t>OUTROS TÉCNICOS DE NÍVEL MÉDIO DAS CIÊNCIAS FÍSICAS, QUÍMICAS, ENGENHARIA E AFINS</t>
  </si>
  <si>
    <t>TÉCNICO EM BIOLOGIA</t>
  </si>
  <si>
    <t>TÉCNICO DA PRODUÇÃO AGROPECUÁRIA</t>
  </si>
  <si>
    <t>TÉCNICO DA CIÊNCIA DA SAÚDE HUMANA</t>
  </si>
  <si>
    <t>TÉCNICO DA CIÊNCIA DA SAÚDE ANIMAL</t>
  </si>
  <si>
    <t>TÉCNICO DE LABORATÓRIO, RAIOS-X E OUTROS EQUIPAMENTOS E INSTRUMENTOS DE DIAGNÓSTICO</t>
  </si>
  <si>
    <t>TÉCNICO DE BIOQUÍMICA E DA BIOTECNOLOGIA</t>
  </si>
  <si>
    <t>TÉCNICO DE CONSERVAÇÃO, DISSECAÇÃO E EMPALHAMENTO DE CORPOS</t>
  </si>
  <si>
    <t>TÉCNICO EM NAVEGAÇÃO AÉREA, MARÍTIMA, FLUVIAL E METROFERROVIÁRIA</t>
  </si>
  <si>
    <t>TÉCNICO EM TRANSPORTES (LOGÍSTICA)</t>
  </si>
  <si>
    <t>TÉCNICO DAS CIÊNCIAS ADMINISTRATIVAS E CONTÁBEIS</t>
  </si>
  <si>
    <t>TÉCNICO DE INSPEÇÃO, FISCALIZAÇÃO E COORDENAÇÃO ADMINISTRATIVA</t>
  </si>
  <si>
    <t>AGENTE DE BOLSA DE VALORES, CÂMBIO E OUTROS SERVIÇOS FINANCEIROS</t>
  </si>
  <si>
    <t>AGENTE E REPRESENTANTE COMERCIAL, CORRETOR, LEILOEIRO E AFINS</t>
  </si>
  <si>
    <t>CORRETOR E ADMINSTRADOR DE IMÓVEIS</t>
  </si>
  <si>
    <t>TÉCNICO DE SERVIÇOS CULTURAIS</t>
  </si>
  <si>
    <t>CINEGRAFISTA, FOTÓGRAFO E OUTROS TÉCNICOS EM OPERAÇÃO DE MÁQUINAS DE TRATAMENTO DE DADOS</t>
  </si>
  <si>
    <t>TÉCNICO EM OPERAÇÃO DE ESTAÇÕES DE RÁDIO E TELEVISÃO</t>
  </si>
  <si>
    <t>TÉCNICO EM OPERAÇÃO DE APARELHOS DE SONORIZAÇÃO, CENOGRAFIA E PROJEÇÃO</t>
  </si>
  <si>
    <t>DECORADOR E VITRINISTA</t>
  </si>
  <si>
    <t>APRESENTADOR, ARTISTAS DE ARTES POPULARES E MODELOS</t>
  </si>
  <si>
    <t>ATLETA, DESPORTISTA E AFINS</t>
  </si>
  <si>
    <t>OUTROS TÉCNICOS DE NÍVEL MÉDIO</t>
  </si>
  <si>
    <t>BANCÁRIO, ECONOMIÁRIO, ESCRITURÁRIO, SECRETÁRIO, ASSISTENTE E AUXILIAR ADMINISTRATIVO</t>
  </si>
  <si>
    <t>TRABALHADOR DE ATENDIMENTO AO PÚBLICO, CAIXA, DESPACHANTE, RECENSEADOR E AFINS</t>
  </si>
  <si>
    <t>COMISSÁRIO DE BORDO, GUIA DE TURISMO, AGENTE DE VIAGEM E AFINS</t>
  </si>
  <si>
    <t>TRABALHADOR DOS SERVIÇOS DOMÉSTICOS EM GERAL</t>
  </si>
  <si>
    <t>TRABALHADOR DOS SERVIÇOS DE HOTELARIA E ALIMENTAÇÃO</t>
  </si>
  <si>
    <t>TRABALHADOR DOS SERVIÇOS DE ADMINISTRAÇÃO, CONSERVAÇÃO E MANUTENÇÃO DE EDIFÍCIOS</t>
  </si>
  <si>
    <t>TRABALHADOR DOS SERVIÇOS DE SAÚDE</t>
  </si>
  <si>
    <t>TRABALHADOR DOS SERVIÇOS DE EMBELEZAMENTO E CUIDADOS PESSOAIS</t>
  </si>
  <si>
    <t>TRABALHADOR DOS SERVIÇOS DE PROTEÇÃO E SEGURANÇA (EXCETO MILITAR)</t>
  </si>
  <si>
    <t>MOTORISTA E CONDUTOR DO TRANSPORTE DE PASSAGEIROS (MOTORISTA DE TÁXI, ÔNIBUS, PEQUENA EMBARCAÇÃO ETC)</t>
  </si>
  <si>
    <t>OUTROS TRABALHADORES DE SERVIÇOS DIVERSOS</t>
  </si>
  <si>
    <t>VENDEDOR E PRESTADOR DE SERVIÇOS DO COMÉRCIO, AMBULANTE, CAIXEIRO-VIAJANTE E CAMELÔ</t>
  </si>
  <si>
    <t>PRODUTOR NA EXPLORAÇÃO AGROPECUÁRIA</t>
  </si>
  <si>
    <t>TRABALHADOR NA EXPLORAÇÃO AGROPECUÁRIA</t>
  </si>
  <si>
    <t>PESCADOR, CAÇADOR E EXTRATIVISTA FLORESTAL</t>
  </si>
  <si>
    <t>OPERADOR DE MÁQUINA AGROPECUÁRIA E FLORESTAL</t>
  </si>
  <si>
    <t>TRABALHADOR DA INDÚSTRIA EXTRATIVA E DA CONSTRUÇÃO CIVIL</t>
  </si>
  <si>
    <t>TRABALHADOR DA TRANSFORMAÇÃO DE METAIS E COMPÓSITOS</t>
  </si>
  <si>
    <t>TRABALHADOR DA FABRICAÇÃO E INSTALAÇÃO ELETRO-ELETRÔNICA</t>
  </si>
  <si>
    <t>MONTADOR DE APARELHOS E INSTRUMENTOS DE PRECISÃO E MUSICAIS</t>
  </si>
  <si>
    <t>JOALHEIRO, VIDREIRO, CERAMISTA E AFINS</t>
  </si>
  <si>
    <t>TRABALHADOR DAS INDÚSTRIAS TÊXTEIS, DO CURTIMENTO, DO VESTUÁRIO E DAS ARTES GRÁFICAS</t>
  </si>
  <si>
    <t>TRABALHADOR DAS INDÚSTRIAS DE MADEIRA E DO MOBILIÁRIO</t>
  </si>
  <si>
    <t>CONDUTOR E OPERADOR DE ROBÔS, VEÍCULOS DE EQUIPAMENTOS DE MOVIMENTAÇÃO DE CARGA E AFINS</t>
  </si>
  <si>
    <t>TRABALHADOR DAS INDÚSTRIAS QUÍMICA, PETROQUÍMICA, BORRACHA E PLÁSTICO E AFINS</t>
  </si>
  <si>
    <t>TRABALHADOR DE INSTALAÇÕES SIDERÚRGICAS E DE MATERIAIS DE CONSTRUÇÃO</t>
  </si>
  <si>
    <t>TRABALHADOR DE INSTALAÇÕES E MÁQUINAS DE FABRICAÇÃO DE CELULOSE E PAPEL</t>
  </si>
  <si>
    <t>TRABALHADOR DA FABRICAÇÃO DE ALIMENTOS, BEBIDAS, FUMO E DE AGROINDÚSTRIAS</t>
  </si>
  <si>
    <t>OPERADOR DE INSTALAÇÕES DE PRODUÇÃO E DISTRIBUIÇÃO DE ENERGIA</t>
  </si>
  <si>
    <t>TRABALHADOR DE OUTRAS INSTALAÇÕES AGROINDUSTRIAIS</t>
  </si>
  <si>
    <t>TRABALHADOR DE REPARAÇÃO E MANUTENÇÃO</t>
  </si>
  <si>
    <t>LC 214/2025, art 127</t>
  </si>
  <si>
    <t>Valor Rend TNA 2023</t>
  </si>
  <si>
    <t>Valor Rend TNA 2024</t>
  </si>
  <si>
    <t>Alíquota de referência</t>
  </si>
  <si>
    <t>Redução de 30%</t>
  </si>
  <si>
    <t>Redução de 60%</t>
  </si>
  <si>
    <t>Geral</t>
  </si>
  <si>
    <t>Profissional liberal</t>
  </si>
  <si>
    <t>Profissionais da educação</t>
  </si>
  <si>
    <t>Prof. artes, cultura, eventos, jornalistica e audio</t>
  </si>
  <si>
    <t>cartório</t>
  </si>
  <si>
    <t>Dados obtidos da ficha "Rendimentos Tributáveis Recebidos de Pessoa Física e do Exterior pelo Titular", referentes aos Rendimentos do Trabalho Não Assalariado, provenientes da DIRPF, totalizados por Ocupação:
select (ir.ano-1) as 'Ano-Calendário', ir.principal as 'Ocupação', sum(zeroifnull(va_renda)) as 'Total Rendimentos'
from u08105524775.gnirpf_irpf_repf as pf, u08105524775.gnirpf_irpf as ir
where pf.nu_ident_decl = ir.nu_ident_decl and pf.an_exercicio = ir.ano 
and lpad(cast(pf.nu_cpf as string),11,'0') = ir.nu_cpf
group by 1,2
union
select (ir.ano-1) as 'Ano-Calendário', ir.principal as 'Ocupação', sum(zeroifnull(va_renda)) as 'Total Rendimentos'
from u08105524775.gnirpf_irpf_repf_ac2023 as pf, u08105524775.gnirpf_irpf_ac2023 as ir
where pf.nu_ident_decl = ir.nu_ident_decl and pf.an_exercicio = ir.ano 
and lpad(cast(pf.nu_cpf as string),11,'0') = ir.nu_cpf
group by 1,2</t>
  </si>
  <si>
    <t>Devido ao alto percentual de declarações com ocupação '000' ("Outras Ocupações") e NULA, foi feita uma correção atribuindo os valores referentes aos rendimentos do trabalho não assalariado às demais ocupações, baseado no percentual do valor de cada ocupação</t>
  </si>
  <si>
    <t>OBS.: Sobre tabelas utilizadas
1) Tabela de Rendimentos recebidos de pessoa física: cópia de view original da base de dados da DIRPF
create table u08105524775.gnirpf_irpf_repf stored as parquet as 
	select * from dbbr_irpf_119_11706_ada.tab_8_aa_irpfmx_rend_pf_view where an_exercicio = &lt;ano&gt;;
2) Tabela de Declarações de IRPF: tabela com dados originários da base de dados da DIRPF, tratados para manter apenas declarações válidas e vigentes, conforme processo utilizado para geração do estudo dos Grandes Números IRPF
select * from dbbr_irpf_119_11706_ada.tab_7_aa_irpfmx_declaracao_view where an_exercicio = &lt;ano&gt; and co_situacao_decl not in (85, 80);</t>
  </si>
  <si>
    <t>Totais de Rendimentos do Trabalho Não Assalariado por categorias com direito a redução de alíquota, conforme definido na LC 214/2025 (https://www.planalto.gov.br/ccivil_03/leis/lcp/lcp214.htm)</t>
  </si>
  <si>
    <t>6980</t>
  </si>
  <si>
    <t xml:space="preserve">Atividades jurídicas, contábeis, consultoria e sedes de empresas </t>
  </si>
  <si>
    <t>8692</t>
  </si>
  <si>
    <t>Saúde privada</t>
  </si>
  <si>
    <t>9080</t>
  </si>
  <si>
    <t>Atividades artísticas, criativas e de espetáculos</t>
  </si>
  <si>
    <t>7180</t>
  </si>
  <si>
    <t>Serviços de arquitetura, engenharia, testes/análises técnicas e P &amp; D</t>
  </si>
  <si>
    <t>7380</t>
  </si>
  <si>
    <t>Outras atividades profissionais, científicas e técnicas</t>
  </si>
  <si>
    <t>Serviços de engenharia</t>
  </si>
  <si>
    <t>Serviços de assistência social sem alojamento</t>
  </si>
  <si>
    <t>Atividades de gravação de som e de edição de música</t>
  </si>
  <si>
    <t>5980</t>
  </si>
  <si>
    <t>Atividades de televisão, rádio, cinema e  gravação/edição de som e imagem</t>
  </si>
  <si>
    <t>6280</t>
  </si>
  <si>
    <t>Desenvolvimento de sistemas e outros serviços de informação</t>
  </si>
  <si>
    <t>6912</t>
  </si>
  <si>
    <t>Cartórios</t>
  </si>
  <si>
    <t>8592</t>
  </si>
  <si>
    <t>Educação privada</t>
  </si>
  <si>
    <t>7490</t>
  </si>
  <si>
    <t>Atividades profissionais, científicas e técnicas não especificadas anteriormente</t>
  </si>
  <si>
    <t>Atividade de Divulgação - SCN 2010</t>
  </si>
  <si>
    <t>Classe Cnae 2.0 (4 dígitos)</t>
  </si>
  <si>
    <t>7112</t>
  </si>
  <si>
    <t>6911</t>
  </si>
  <si>
    <t>Atividades jurídicas, exceto cartórios</t>
  </si>
  <si>
    <t>8591</t>
  </si>
  <si>
    <t>Ensino de esportes</t>
  </si>
  <si>
    <t>6920</t>
  </si>
  <si>
    <t>Atividades de contabilidade, consultoria e auditoria contábil e tributária</t>
  </si>
  <si>
    <t>7311</t>
  </si>
  <si>
    <t>Agências de publicidade</t>
  </si>
  <si>
    <t>8800</t>
  </si>
  <si>
    <t>9102</t>
  </si>
  <si>
    <t>Atividades de museus e de exploração, restauração artística e conservação de lugares e prédios históricos e atrações similares</t>
  </si>
  <si>
    <t>6204</t>
  </si>
  <si>
    <t>Consultoria em tecnologia da informação</t>
  </si>
  <si>
    <t>8513</t>
  </si>
  <si>
    <t>Ensino fundamental</t>
  </si>
  <si>
    <t>8520</t>
  </si>
  <si>
    <t>Ensino médio</t>
  </si>
  <si>
    <t>8599</t>
  </si>
  <si>
    <t>Atividades de ensino não especificadas anteriormente</t>
  </si>
  <si>
    <t>8531</t>
  </si>
  <si>
    <t>Educação superior - graduação</t>
  </si>
  <si>
    <t>8541</t>
  </si>
  <si>
    <t>Educação profissional de nível técnico</t>
  </si>
  <si>
    <t>5800</t>
  </si>
  <si>
    <t>Edição e edição integrada à impressão</t>
  </si>
  <si>
    <t>5812</t>
  </si>
  <si>
    <t>Edição de jornais</t>
  </si>
  <si>
    <t>5811</t>
  </si>
  <si>
    <t>Edição de livros</t>
  </si>
  <si>
    <t>6021</t>
  </si>
  <si>
    <t>Atividades de televisão aberta</t>
  </si>
  <si>
    <t>9001</t>
  </si>
  <si>
    <t>Artes cênicas, espetáculos e atividades complementares</t>
  </si>
  <si>
    <t>5920</t>
  </si>
  <si>
    <t>9002</t>
  </si>
  <si>
    <t>Criação artística</t>
  </si>
  <si>
    <t>8630</t>
  </si>
  <si>
    <t>Atividades de atenção ambulatorial executadas por médicos e odontólogos</t>
  </si>
  <si>
    <t>8650</t>
  </si>
  <si>
    <t>Atividades de profissionais da área de saúde, exceto médicos e odontólogos</t>
  </si>
  <si>
    <t>8640</t>
  </si>
  <si>
    <t>Atividades de serviços de complementação diagnóstica e terapêutica</t>
  </si>
  <si>
    <t>8660</t>
  </si>
  <si>
    <t>Atividades de apoio à gestão de saúde</t>
  </si>
  <si>
    <t>8690</t>
  </si>
  <si>
    <t>Atividades de atenção à saúde humana não especificadas anteriormente</t>
  </si>
  <si>
    <t>% Consumo Final Contas Nacionais</t>
  </si>
  <si>
    <t>Base de Cálculo Débitos (total)</t>
  </si>
  <si>
    <t>Parcela Consumo Intermediário (ajuste mod. Central)</t>
  </si>
  <si>
    <t>% Consumo Intermediáro</t>
  </si>
  <si>
    <t>definição quanto é consumo intermediário para demais atividades</t>
  </si>
  <si>
    <t>Valor destinado a Consumo Intermediário</t>
  </si>
  <si>
    <t>BC Créditos Livro Caixa</t>
  </si>
  <si>
    <t>Não contribuinte</t>
  </si>
  <si>
    <t>Transportador autonomo</t>
  </si>
  <si>
    <t>Base de Cálculo dos Créditos CBS</t>
  </si>
  <si>
    <t>Incidência CBS Débitos</t>
  </si>
  <si>
    <t>Incidência CBS Créditos</t>
  </si>
  <si>
    <t>Nome no Módulo</t>
  </si>
  <si>
    <t>Alíq. Referência - Demais serviços e bens</t>
  </si>
  <si>
    <t>Alíq. Referência - Titular de Cartório</t>
  </si>
  <si>
    <t xml:space="preserve">Alíq. Reduzida em 30% - Profissionais Liberais - Art. 127 </t>
  </si>
  <si>
    <t>Alíq. reduzida em 60%  - Serviços de saúde - Art. 130 (Anexo III)</t>
  </si>
  <si>
    <t>Alíq. reduzida em 60%  - Prof. artes, cultura, eventos, jornalistica e audio - Art. 139 (Anexo X)</t>
  </si>
  <si>
    <t>Alíq. reduzida em 60%  - Prof. educação - Art. 129</t>
  </si>
  <si>
    <t>HIPÓTESE DE ALTERAÇÃO DE COMPORTAMENTO</t>
  </si>
  <si>
    <t>omissão de receita</t>
  </si>
  <si>
    <t>perde tudo</t>
  </si>
  <si>
    <t>vira pj</t>
  </si>
  <si>
    <t>perde parte</t>
  </si>
  <si>
    <t>redutor</t>
  </si>
  <si>
    <t>Base de Cálculo Débitos (total) 
COM ALTERAÇÃO COMPORTAMENTO</t>
  </si>
  <si>
    <t>Base de Cálculo dos Créditos CBS
COM ALTERAÇÃO COMPORTAMENTO</t>
  </si>
  <si>
    <t>Parcela Consumo Intermediário (ajuste mod. Central)
COM ALTERAÇÃO COMPORTAMENTO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</si>
</sst>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</cellStyleXfs>
  <cellXfs count="52">
    <xf numFmtId="0" fontId="0" fillId="0" borderId="0" xfId="0"/>
    <xf numFmtId="4" fontId="0" fillId="0" borderId="0" xfId="0" applyNumberFormat="1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4" fontId="1" fillId="2" borderId="2" xfId="0" applyNumberFormat="1" applyFont="1" applyFill="1" applyBorder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4" fontId="1" fillId="2" borderId="2" xfId="0" applyNumberFormat="1" applyFont="1" applyFill="1" applyBorder="1" applyAlignment="1">
      <alignment horizontal="right"/>
    </xf>
    <xf numFmtId="0" fontId="4" fillId="0" borderId="3" xfId="0" applyFont="1" applyBorder="1"/>
    <xf numFmtId="0" fontId="4" fillId="0" borderId="0" xfId="0" applyFont="1" applyAlignment="1">
      <alignment wrapText="1"/>
    </xf>
    <xf numFmtId="0" fontId="4" fillId="0" borderId="0" xfId="0" applyFont="1"/>
    <xf numFmtId="4" fontId="4" fillId="0" borderId="3" xfId="0" applyNumberFormat="1" applyFont="1" applyBorder="1"/>
    <xf numFmtId="0" fontId="4" fillId="0" borderId="3" xfId="0" applyFont="1" applyBorder="1" applyAlignment="1">
      <alignment wrapText="1"/>
    </xf>
    <xf numFmtId="0" fontId="1" fillId="0" borderId="0" xfId="0" applyFont="1"/>
    <xf numFmtId="4" fontId="1" fillId="0" borderId="0" xfId="0" applyNumberFormat="1" applyFont="1"/>
    <xf numFmtId="43" fontId="0" fillId="0" borderId="0" xfId="1" applyFont="1"/>
    <xf numFmtId="43" fontId="0" fillId="0" borderId="0" xfId="0" applyNumberFormat="1"/>
    <xf numFmtId="10" fontId="0" fillId="0" borderId="0" xfId="2" applyNumberFormat="1" applyFont="1"/>
    <xf numFmtId="0" fontId="0" fillId="3" borderId="0" xfId="0" applyFill="1"/>
    <xf numFmtId="43" fontId="0" fillId="3" borderId="0" xfId="1" applyFont="1" applyFill="1"/>
    <xf numFmtId="10" fontId="0" fillId="3" borderId="0" xfId="2" applyNumberFormat="1" applyFont="1" applyFill="1"/>
    <xf numFmtId="0" fontId="3" fillId="0" borderId="3" xfId="0" applyFont="1" applyBorder="1" applyAlignment="1">
      <alignment wrapText="1"/>
    </xf>
    <xf numFmtId="4" fontId="4" fillId="0" borderId="3" xfId="0" applyNumberFormat="1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4" borderId="7" xfId="0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5" borderId="0" xfId="0" applyFill="1"/>
    <xf numFmtId="43" fontId="0" fillId="5" borderId="0" xfId="1" applyFont="1" applyFill="1"/>
    <xf numFmtId="10" fontId="0" fillId="5" borderId="0" xfId="2" applyNumberFormat="1" applyFont="1" applyFill="1"/>
    <xf numFmtId="43" fontId="0" fillId="0" borderId="0" xfId="1" applyFont="1" applyFill="1"/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/>
    <xf numFmtId="9" fontId="0" fillId="0" borderId="0" xfId="0" applyNumberFormat="1"/>
    <xf numFmtId="10" fontId="0" fillId="0" borderId="0" xfId="0" applyNumberFormat="1"/>
    <xf numFmtId="9" fontId="0" fillId="7" borderId="7" xfId="0" applyNumberFormat="1" applyFill="1" applyBorder="1" applyAlignment="1">
      <alignment horizontal="center"/>
    </xf>
    <xf numFmtId="43" fontId="0" fillId="7" borderId="0" xfId="1" applyFont="1" applyFill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4">
    <cellStyle name="Normal" xfId="0" builtinId="0"/>
    <cellStyle name="Normal 3" xfId="3" xr:uid="{EEEE8E00-FF7C-4913-ABB2-F3B607F6DFC1}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cucloud-my.sharepoint.com/personal/marquesf_tcu_gov_br/Documents/4-CalculoCBS2027/1-RECEITAS_RECEITA_FEDERAL/MOD_010_Pessoa_Fisica/ENTREGA/2026_04_27/01_ENTRADA_COPIADA/Demais%20Pessoas%20F&#237;sicas/Consumo%20Final%20Contas%20Nacionais.xlsx" TargetMode="External"/><Relationship Id="rId2" Type="http://schemas.microsoft.com/office/2019/04/relationships/externalLinkLongPath" Target="Consumo%20Final%20Contas%20Nacionais.xlsx?10F0A50A" TargetMode="External"/><Relationship Id="rId1" Type="http://schemas.openxmlformats.org/officeDocument/2006/relationships/externalLinkPath" Target="file:///10F0A50A/Consumo%20Final%20Contas%20Nacionai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cucloud-my.sharepoint.com/personal/marquesf_tcu_gov_br/Documents/4-CalculoCBS2027/1-RECEITAS_RECEITA_FEDERAL/MOD_010_Pessoa_Fisica/ENTREGA/2026_04_27/01_ENTRADA_COPIADA/Demais%20Pessoas%20F&#237;sicas/Estimativa%20Valor%20Cr&#233;ditos.xlsx" TargetMode="External"/><Relationship Id="rId2" Type="http://schemas.microsoft.com/office/2019/04/relationships/externalLinkLongPath" Target="Estimativa%20Valor%20Cr&#233;ditos.xlsx?10F0A50A" TargetMode="External"/><Relationship Id="rId1" Type="http://schemas.openxmlformats.org/officeDocument/2006/relationships/externalLinkPath" Target="file:///10F0A50A/Estimativa%20Valor%20Cr&#233;di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I"/>
      <sheetName val="demanda"/>
      <sheetName val="VA"/>
      <sheetName val="demanda (2)"/>
      <sheetName val="tab16"/>
      <sheetName val="demanda 2021-2019"/>
      <sheetName val="Prod-CNAE-CF"/>
      <sheetName val="Tab ibge 1"/>
      <sheetName val="Tab ibge 2"/>
      <sheetName val="DE-PARA"/>
      <sheetName val="2m02"/>
      <sheetName val="2n02"/>
      <sheetName val="2o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A5" t="str">
            <v>0191</v>
          </cell>
          <cell r="B5" t="str">
            <v>Agricultura, inclusive o apoio à agricultura e a pós-colheita</v>
          </cell>
          <cell r="C5">
            <v>296792</v>
          </cell>
          <cell r="D5">
            <v>47994</v>
          </cell>
          <cell r="E5">
            <v>903093</v>
          </cell>
          <cell r="F5">
            <v>558307</v>
          </cell>
          <cell r="G5">
            <v>389392</v>
          </cell>
          <cell r="H5">
            <v>0.30254859781446408</v>
          </cell>
        </row>
        <row r="6">
          <cell r="A6" t="str">
            <v>0192</v>
          </cell>
          <cell r="B6" t="str">
            <v>Pecuária, inclusive o apoio à pecuária</v>
          </cell>
          <cell r="C6">
            <v>3732</v>
          </cell>
          <cell r="D6">
            <v>-1004</v>
          </cell>
          <cell r="E6">
            <v>281610</v>
          </cell>
          <cell r="F6">
            <v>278882</v>
          </cell>
          <cell r="G6">
            <v>210047</v>
          </cell>
          <cell r="H6">
            <v>0.24682482196771394</v>
          </cell>
        </row>
        <row r="7">
          <cell r="A7" t="str">
            <v>0280</v>
          </cell>
          <cell r="B7" t="str">
            <v>Produção florestal; pesca e aquicultura</v>
          </cell>
          <cell r="C7">
            <v>7193</v>
          </cell>
          <cell r="D7">
            <v>-1156</v>
          </cell>
          <cell r="E7">
            <v>78847</v>
          </cell>
          <cell r="F7">
            <v>72810</v>
          </cell>
          <cell r="G7">
            <v>33927</v>
          </cell>
          <cell r="H7">
            <v>0.53403378656777911</v>
          </cell>
        </row>
        <row r="8">
          <cell r="A8" t="str">
            <v>0580</v>
          </cell>
          <cell r="B8" t="str">
            <v>Extração de carvão mineral e de minerais não-metálicos</v>
          </cell>
          <cell r="C8">
            <v>3870</v>
          </cell>
          <cell r="D8">
            <v>1186</v>
          </cell>
          <cell r="E8">
            <v>63624</v>
          </cell>
          <cell r="F8">
            <v>58568</v>
          </cell>
          <cell r="G8">
            <v>58568</v>
          </cell>
          <cell r="H8">
            <v>0</v>
          </cell>
        </row>
        <row r="9">
          <cell r="A9" t="str">
            <v>0680</v>
          </cell>
          <cell r="B9" t="str">
            <v>Extração de petróleo e gás, inclusive as atividades de apoio</v>
          </cell>
          <cell r="C9">
            <v>165133</v>
          </cell>
          <cell r="D9">
            <v>-12672</v>
          </cell>
          <cell r="E9">
            <v>406473</v>
          </cell>
          <cell r="F9">
            <v>254012</v>
          </cell>
          <cell r="G9">
            <v>237579</v>
          </cell>
          <cell r="H9">
            <v>6.4693793993984533E-2</v>
          </cell>
        </row>
        <row r="10">
          <cell r="A10" t="str">
            <v>0791</v>
          </cell>
          <cell r="B10" t="str">
            <v>Extração de minério de ferro, inclusive beneficiamentos e a aglomeração</v>
          </cell>
          <cell r="C10">
            <v>239133</v>
          </cell>
          <cell r="D10">
            <v>-7701</v>
          </cell>
          <cell r="E10">
            <v>309554</v>
          </cell>
          <cell r="F10">
            <v>78122</v>
          </cell>
          <cell r="G10">
            <v>78122</v>
          </cell>
          <cell r="H10">
            <v>0</v>
          </cell>
        </row>
        <row r="11">
          <cell r="A11" t="str">
            <v>0792</v>
          </cell>
          <cell r="B11" t="str">
            <v>Extração de minerais metálicos não-ferrosos, inclusive beneficiamentos</v>
          </cell>
          <cell r="C11">
            <v>21903</v>
          </cell>
          <cell r="D11">
            <v>-3347</v>
          </cell>
          <cell r="E11">
            <v>40273</v>
          </cell>
          <cell r="F11">
            <v>21717</v>
          </cell>
          <cell r="G11">
            <v>21717</v>
          </cell>
          <cell r="H11">
            <v>0</v>
          </cell>
        </row>
        <row r="12">
          <cell r="A12" t="str">
            <v>1091</v>
          </cell>
          <cell r="B12" t="str">
            <v>Abate e produtos de carne, inclusive os produtos do laticínio e da pesca</v>
          </cell>
          <cell r="C12">
            <v>117607</v>
          </cell>
          <cell r="D12">
            <v>2121</v>
          </cell>
          <cell r="E12">
            <v>661295</v>
          </cell>
          <cell r="F12">
            <v>541567</v>
          </cell>
          <cell r="G12">
            <v>130536</v>
          </cell>
          <cell r="H12">
            <v>0.75896611130294123</v>
          </cell>
        </row>
        <row r="13">
          <cell r="A13" t="str">
            <v>1092</v>
          </cell>
          <cell r="B13" t="str">
            <v>Fabricação e refino de açúcar</v>
          </cell>
          <cell r="C13">
            <v>49456</v>
          </cell>
          <cell r="D13">
            <v>981</v>
          </cell>
          <cell r="E13">
            <v>83821</v>
          </cell>
          <cell r="F13">
            <v>33384</v>
          </cell>
          <cell r="G13">
            <v>21550</v>
          </cell>
          <cell r="H13">
            <v>0.3544811885933381</v>
          </cell>
        </row>
        <row r="14">
          <cell r="A14" t="str">
            <v>1093</v>
          </cell>
          <cell r="B14" t="str">
            <v>Outros produtos alimentares</v>
          </cell>
          <cell r="C14">
            <v>84565</v>
          </cell>
          <cell r="D14">
            <v>10480</v>
          </cell>
          <cell r="E14">
            <v>799295</v>
          </cell>
          <cell r="F14">
            <v>704250</v>
          </cell>
          <cell r="G14">
            <v>259998</v>
          </cell>
          <cell r="H14">
            <v>0.63081576144834928</v>
          </cell>
        </row>
        <row r="15">
          <cell r="A15" t="str">
            <v>1100</v>
          </cell>
          <cell r="B15" t="str">
            <v>Fabricação de bebidas</v>
          </cell>
          <cell r="C15">
            <v>4193</v>
          </cell>
          <cell r="D15">
            <v>1699</v>
          </cell>
          <cell r="E15">
            <v>189520</v>
          </cell>
          <cell r="F15">
            <v>183628</v>
          </cell>
          <cell r="G15">
            <v>73582</v>
          </cell>
          <cell r="H15">
            <v>0.59928769033045071</v>
          </cell>
        </row>
        <row r="16">
          <cell r="A16" t="str">
            <v>1200</v>
          </cell>
          <cell r="B16" t="str">
            <v>Fabricação de produtos do fumo</v>
          </cell>
          <cell r="C16">
            <v>7758</v>
          </cell>
          <cell r="D16">
            <v>-81</v>
          </cell>
          <cell r="E16">
            <v>51078</v>
          </cell>
          <cell r="F16">
            <v>43401</v>
          </cell>
          <cell r="G16">
            <v>1991</v>
          </cell>
          <cell r="H16">
            <v>0.95412548097970096</v>
          </cell>
        </row>
        <row r="17">
          <cell r="A17" t="str">
            <v>1300</v>
          </cell>
          <cell r="B17" t="str">
            <v>Fabricação de produtos têxteis</v>
          </cell>
          <cell r="C17">
            <v>3819</v>
          </cell>
          <cell r="D17">
            <v>9055</v>
          </cell>
          <cell r="E17">
            <v>158914</v>
          </cell>
          <cell r="F17">
            <v>146040</v>
          </cell>
          <cell r="G17">
            <v>86305</v>
          </cell>
          <cell r="H17">
            <v>0.40903177211722813</v>
          </cell>
        </row>
        <row r="18">
          <cell r="A18" t="str">
            <v>1400</v>
          </cell>
          <cell r="B18" t="str">
            <v>Confecção de artefatos do vestuário e acessórios</v>
          </cell>
          <cell r="C18">
            <v>2435</v>
          </cell>
          <cell r="D18">
            <v>-1467</v>
          </cell>
          <cell r="E18">
            <v>180698</v>
          </cell>
          <cell r="F18">
            <v>179730</v>
          </cell>
          <cell r="G18">
            <v>16000</v>
          </cell>
          <cell r="H18">
            <v>0.91097757747732711</v>
          </cell>
        </row>
        <row r="19">
          <cell r="A19" t="str">
            <v>1500</v>
          </cell>
          <cell r="B19" t="str">
            <v>Fabricação de calçados e de artefatos de couro</v>
          </cell>
          <cell r="C19">
            <v>13382</v>
          </cell>
          <cell r="D19">
            <v>-833</v>
          </cell>
          <cell r="E19">
            <v>96833</v>
          </cell>
          <cell r="F19">
            <v>84284</v>
          </cell>
          <cell r="G19">
            <v>12764</v>
          </cell>
          <cell r="H19">
            <v>0.84855963172132309</v>
          </cell>
        </row>
        <row r="20">
          <cell r="A20" t="str">
            <v>1600</v>
          </cell>
          <cell r="B20" t="str">
            <v>Fabricação de produtos da madeira</v>
          </cell>
          <cell r="C20">
            <v>22992</v>
          </cell>
          <cell r="D20">
            <v>1940</v>
          </cell>
          <cell r="E20">
            <v>76026</v>
          </cell>
          <cell r="F20">
            <v>51094</v>
          </cell>
          <cell r="G20">
            <v>46864</v>
          </cell>
          <cell r="H20">
            <v>8.2788585743922963E-2</v>
          </cell>
        </row>
        <row r="21">
          <cell r="A21" t="str">
            <v>1700</v>
          </cell>
          <cell r="B21" t="str">
            <v>Fabricação de celulose, papel e produtos de papel</v>
          </cell>
          <cell r="C21">
            <v>46918</v>
          </cell>
          <cell r="D21">
            <v>-2550</v>
          </cell>
          <cell r="E21">
            <v>207724</v>
          </cell>
          <cell r="F21">
            <v>163356</v>
          </cell>
          <cell r="G21">
            <v>139165</v>
          </cell>
          <cell r="H21">
            <v>0.14808761233134993</v>
          </cell>
        </row>
        <row r="22">
          <cell r="A22" t="str">
            <v>1800</v>
          </cell>
          <cell r="B22" t="str">
            <v>Impressão e reprodução de gravações</v>
          </cell>
          <cell r="C22">
            <v>224</v>
          </cell>
          <cell r="D22">
            <v>17</v>
          </cell>
          <cell r="E22">
            <v>39300</v>
          </cell>
          <cell r="F22">
            <v>39059</v>
          </cell>
          <cell r="G22">
            <v>38229</v>
          </cell>
          <cell r="H22">
            <v>2.1249903991397628E-2</v>
          </cell>
        </row>
        <row r="23">
          <cell r="A23" t="str">
            <v>1991</v>
          </cell>
          <cell r="B23" t="str">
            <v>Refino de petróleo e coquerias</v>
          </cell>
          <cell r="C23">
            <v>41049</v>
          </cell>
          <cell r="D23">
            <v>1655</v>
          </cell>
          <cell r="E23">
            <v>1020479</v>
          </cell>
          <cell r="F23">
            <v>977775</v>
          </cell>
          <cell r="G23">
            <v>707004</v>
          </cell>
          <cell r="H23">
            <v>0.27692567308429855</v>
          </cell>
        </row>
        <row r="24">
          <cell r="A24" t="str">
            <v>1992</v>
          </cell>
          <cell r="B24" t="str">
            <v>Fabricação de biocombustíveis</v>
          </cell>
          <cell r="C24">
            <v>5755</v>
          </cell>
          <cell r="D24">
            <v>-1335</v>
          </cell>
          <cell r="E24">
            <v>178587</v>
          </cell>
          <cell r="F24">
            <v>174167</v>
          </cell>
          <cell r="G24">
            <v>103382</v>
          </cell>
          <cell r="H24">
            <v>0.40642027479373244</v>
          </cell>
        </row>
        <row r="25">
          <cell r="A25" t="str">
            <v>2091</v>
          </cell>
          <cell r="B25" t="str">
            <v>Fabricação de químicos orgânicos e inorgânicos, resinas e elastômeros</v>
          </cell>
          <cell r="C25">
            <v>35707</v>
          </cell>
          <cell r="D25">
            <v>9648</v>
          </cell>
          <cell r="E25">
            <v>672468</v>
          </cell>
          <cell r="F25">
            <v>627113</v>
          </cell>
          <cell r="G25">
            <v>627076</v>
          </cell>
          <cell r="H25">
            <v>5.9000531004779045E-5</v>
          </cell>
        </row>
        <row r="26">
          <cell r="A26" t="str">
            <v>2092</v>
          </cell>
          <cell r="B26" t="str">
            <v>Fabricação de defensivos, desinfestantes, tintas e químicos diversos</v>
          </cell>
          <cell r="C26">
            <v>14103</v>
          </cell>
          <cell r="D26">
            <v>8561</v>
          </cell>
          <cell r="E26">
            <v>232504</v>
          </cell>
          <cell r="F26">
            <v>209840</v>
          </cell>
          <cell r="G26">
            <v>207533</v>
          </cell>
          <cell r="H26">
            <v>1.0994090735798703E-2</v>
          </cell>
        </row>
        <row r="27">
          <cell r="A27" t="str">
            <v>2093</v>
          </cell>
          <cell r="B27" t="str">
            <v>Fabricação de produtos de limpeza, cosméticos/perfumaria e higiene pessoal</v>
          </cell>
          <cell r="C27">
            <v>7011</v>
          </cell>
          <cell r="D27">
            <v>-2696</v>
          </cell>
          <cell r="E27">
            <v>149682</v>
          </cell>
          <cell r="F27">
            <v>145367</v>
          </cell>
          <cell r="G27">
            <v>28541</v>
          </cell>
          <cell r="H27">
            <v>0.80366245433970573</v>
          </cell>
        </row>
        <row r="28">
          <cell r="A28" t="str">
            <v>2100</v>
          </cell>
          <cell r="B28" t="str">
            <v>Fabricação de produtos farmoquímicos e farmacêuticos</v>
          </cell>
          <cell r="C28">
            <v>6058</v>
          </cell>
          <cell r="D28">
            <v>3483</v>
          </cell>
          <cell r="E28">
            <v>280596</v>
          </cell>
          <cell r="F28">
            <v>271055</v>
          </cell>
          <cell r="G28">
            <v>94266</v>
          </cell>
          <cell r="H28">
            <v>0.65222556307760415</v>
          </cell>
        </row>
        <row r="29">
          <cell r="A29" t="str">
            <v>2200</v>
          </cell>
          <cell r="B29" t="str">
            <v>Fabricação de produtos de borracha e de material plástico</v>
          </cell>
          <cell r="C29">
            <v>14350</v>
          </cell>
          <cell r="D29">
            <v>10645</v>
          </cell>
          <cell r="E29">
            <v>273057</v>
          </cell>
          <cell r="F29">
            <v>248062</v>
          </cell>
          <cell r="G29">
            <v>221787</v>
          </cell>
          <cell r="H29">
            <v>0.10592110037006877</v>
          </cell>
        </row>
        <row r="30">
          <cell r="A30" t="str">
            <v>2300</v>
          </cell>
          <cell r="B30" t="str">
            <v>Fabricação de produtos de minerais não-metálicos</v>
          </cell>
          <cell r="C30">
            <v>13102</v>
          </cell>
          <cell r="D30">
            <v>10982</v>
          </cell>
          <cell r="E30">
            <v>197694</v>
          </cell>
          <cell r="F30">
            <v>173610</v>
          </cell>
          <cell r="G30">
            <v>168060</v>
          </cell>
          <cell r="H30">
            <v>3.1968204596509418E-2</v>
          </cell>
        </row>
        <row r="31">
          <cell r="A31" t="str">
            <v>2491</v>
          </cell>
          <cell r="B31" t="str">
            <v>Produção de ferro-gusa/ferroligas, siderurgia e tubos de aço sem costura</v>
          </cell>
          <cell r="C31">
            <v>81180</v>
          </cell>
          <cell r="D31">
            <v>8075</v>
          </cell>
          <cell r="E31">
            <v>383454</v>
          </cell>
          <cell r="F31">
            <v>294199</v>
          </cell>
          <cell r="G31">
            <v>293413</v>
          </cell>
          <cell r="H31">
            <v>2.6716610185622655E-3</v>
          </cell>
        </row>
        <row r="32">
          <cell r="A32" t="str">
            <v>2492</v>
          </cell>
          <cell r="B32" t="str">
            <v>Metalurgia de metais não-ferosos e a fundição de metais</v>
          </cell>
          <cell r="C32">
            <v>61454</v>
          </cell>
          <cell r="D32">
            <v>655</v>
          </cell>
          <cell r="E32">
            <v>183801</v>
          </cell>
          <cell r="F32">
            <v>121692</v>
          </cell>
          <cell r="G32">
            <v>120895</v>
          </cell>
          <cell r="H32">
            <v>6.5493212372218388E-3</v>
          </cell>
        </row>
        <row r="33">
          <cell r="A33" t="str">
            <v>2500</v>
          </cell>
          <cell r="B33" t="str">
            <v>Fabricação de produtos de metal, exceto máquinas e equipamentos</v>
          </cell>
          <cell r="C33">
            <v>11330</v>
          </cell>
          <cell r="D33">
            <v>6581</v>
          </cell>
          <cell r="E33">
            <v>276739</v>
          </cell>
          <cell r="F33">
            <v>258828</v>
          </cell>
          <cell r="G33">
            <v>217236</v>
          </cell>
          <cell r="H33">
            <v>0.16069358801984329</v>
          </cell>
        </row>
        <row r="34">
          <cell r="A34" t="str">
            <v>2600</v>
          </cell>
          <cell r="B34" t="str">
            <v>Fabricação de equipamentos de informática, produtos eletrônicos e ópticos</v>
          </cell>
          <cell r="C34">
            <v>5897</v>
          </cell>
          <cell r="D34">
            <v>7474</v>
          </cell>
          <cell r="E34">
            <v>403369</v>
          </cell>
          <cell r="F34">
            <v>389998</v>
          </cell>
          <cell r="G34">
            <v>158588</v>
          </cell>
          <cell r="H34">
            <v>0.59336201724111404</v>
          </cell>
        </row>
        <row r="35">
          <cell r="A35" t="str">
            <v>2700</v>
          </cell>
          <cell r="B35" t="str">
            <v>Fabricação de máquinas e equipamentos elétricos</v>
          </cell>
          <cell r="C35">
            <v>15974</v>
          </cell>
          <cell r="D35">
            <v>16273</v>
          </cell>
          <cell r="E35">
            <v>278093</v>
          </cell>
          <cell r="F35">
            <v>245846</v>
          </cell>
          <cell r="G35">
            <v>129046</v>
          </cell>
          <cell r="H35">
            <v>0.47509416463965248</v>
          </cell>
        </row>
        <row r="36">
          <cell r="A36" t="str">
            <v>2800</v>
          </cell>
          <cell r="B36" t="str">
            <v>Fabricação de máquinas e equipamentos mecânicos</v>
          </cell>
          <cell r="C36">
            <v>45394</v>
          </cell>
          <cell r="D36">
            <v>3066</v>
          </cell>
          <cell r="E36">
            <v>463106</v>
          </cell>
          <cell r="F36">
            <v>414646</v>
          </cell>
          <cell r="G36">
            <v>161327</v>
          </cell>
          <cell r="H36">
            <v>0.61092835816576063</v>
          </cell>
        </row>
        <row r="37">
          <cell r="A37" t="str">
            <v>2991</v>
          </cell>
          <cell r="B37" t="str">
            <v>Fabricação de automóveis, caminhões e ônibus, exceto peças</v>
          </cell>
          <cell r="C37">
            <v>38225</v>
          </cell>
          <cell r="D37">
            <v>-153</v>
          </cell>
          <cell r="E37">
            <v>389554</v>
          </cell>
          <cell r="F37">
            <v>351482</v>
          </cell>
          <cell r="G37">
            <v>14485</v>
          </cell>
          <cell r="H37">
            <v>0.95878878576996829</v>
          </cell>
        </row>
        <row r="38">
          <cell r="A38" t="str">
            <v>2992</v>
          </cell>
          <cell r="B38" t="str">
            <v>Fabricação de peças e acessórios para veículos automotores</v>
          </cell>
          <cell r="C38">
            <v>23221</v>
          </cell>
          <cell r="D38">
            <v>-538</v>
          </cell>
          <cell r="E38">
            <v>247553</v>
          </cell>
          <cell r="F38">
            <v>224870</v>
          </cell>
          <cell r="G38">
            <v>224870</v>
          </cell>
          <cell r="H38">
            <v>0</v>
          </cell>
        </row>
        <row r="39">
          <cell r="A39" t="str">
            <v>3000</v>
          </cell>
          <cell r="B39" t="str">
            <v>Fabricação de outros equipamentos de transporte, exceto veículos automotores</v>
          </cell>
          <cell r="C39">
            <v>21944</v>
          </cell>
          <cell r="D39">
            <v>16277</v>
          </cell>
          <cell r="E39">
            <v>182120</v>
          </cell>
          <cell r="F39">
            <v>143899</v>
          </cell>
          <cell r="G39">
            <v>31220</v>
          </cell>
          <cell r="H39">
            <v>0.78304227270516125</v>
          </cell>
        </row>
        <row r="40">
          <cell r="A40" t="str">
            <v>3180</v>
          </cell>
          <cell r="B40" t="str">
            <v>Fabricação de móveis e de produtos de indústrias diversas</v>
          </cell>
          <cell r="C40">
            <v>10347</v>
          </cell>
          <cell r="D40">
            <v>2029</v>
          </cell>
          <cell r="E40">
            <v>258814</v>
          </cell>
          <cell r="F40">
            <v>246438</v>
          </cell>
          <cell r="G40">
            <v>72921</v>
          </cell>
          <cell r="H40">
            <v>0.70410001704282621</v>
          </cell>
        </row>
        <row r="41">
          <cell r="A41" t="str">
            <v>3300</v>
          </cell>
          <cell r="B41" t="str">
            <v>Manutenção, reparação e instalação de máquinas e equipamentos</v>
          </cell>
          <cell r="C41">
            <v>3676</v>
          </cell>
          <cell r="D41">
            <v>0</v>
          </cell>
          <cell r="E41">
            <v>135360</v>
          </cell>
          <cell r="F41">
            <v>131684</v>
          </cell>
          <cell r="G41">
            <v>110897</v>
          </cell>
          <cell r="H41">
            <v>0.15785516843352268</v>
          </cell>
        </row>
        <row r="42">
          <cell r="A42" t="str">
            <v>3500</v>
          </cell>
          <cell r="B42" t="str">
            <v>Energia elétrica, gás natural e outras utilidades</v>
          </cell>
          <cell r="C42">
            <v>115</v>
          </cell>
          <cell r="D42">
            <v>0</v>
          </cell>
          <cell r="E42">
            <v>545725</v>
          </cell>
          <cell r="F42">
            <v>545610</v>
          </cell>
          <cell r="G42">
            <v>378610</v>
          </cell>
          <cell r="H42">
            <v>0.30607943402796872</v>
          </cell>
        </row>
        <row r="43">
          <cell r="A43" t="str">
            <v>3680</v>
          </cell>
          <cell r="B43" t="str">
            <v>Água, esgoto e gestão de resíduos</v>
          </cell>
          <cell r="C43">
            <v>3</v>
          </cell>
          <cell r="D43">
            <v>54</v>
          </cell>
          <cell r="E43">
            <v>120930</v>
          </cell>
          <cell r="F43">
            <v>120873</v>
          </cell>
          <cell r="G43">
            <v>72043</v>
          </cell>
          <cell r="H43">
            <v>0.40397772869044368</v>
          </cell>
        </row>
        <row r="44">
          <cell r="A44" t="str">
            <v>4180</v>
          </cell>
          <cell r="B44" t="str">
            <v>Construção</v>
          </cell>
          <cell r="C44">
            <v>3894</v>
          </cell>
          <cell r="D44">
            <v>0</v>
          </cell>
          <cell r="E44">
            <v>802827</v>
          </cell>
          <cell r="F44">
            <v>798933</v>
          </cell>
          <cell r="G44">
            <v>130794</v>
          </cell>
          <cell r="H44">
            <v>0.83628915065468568</v>
          </cell>
        </row>
        <row r="45">
          <cell r="A45" t="str">
            <v>4500</v>
          </cell>
          <cell r="B45" t="str">
            <v>Comércio e reparação de veículos automotores e motocicletas</v>
          </cell>
          <cell r="C45">
            <v>475</v>
          </cell>
          <cell r="D45">
            <v>0</v>
          </cell>
          <cell r="E45">
            <v>104925</v>
          </cell>
          <cell r="F45">
            <v>104450</v>
          </cell>
          <cell r="G45">
            <v>34630</v>
          </cell>
          <cell r="H45">
            <v>0.66845380564863566</v>
          </cell>
        </row>
        <row r="46">
          <cell r="A46" t="str">
            <v>4680</v>
          </cell>
          <cell r="B46" t="str">
            <v>Comércio por atacado e a varejo, exceto veículos automotores</v>
          </cell>
          <cell r="C46">
            <v>4516</v>
          </cell>
          <cell r="D46">
            <v>0</v>
          </cell>
          <cell r="E46">
            <v>64373</v>
          </cell>
          <cell r="F46">
            <v>59857</v>
          </cell>
          <cell r="G46">
            <v>59857</v>
          </cell>
          <cell r="H46">
            <v>0</v>
          </cell>
        </row>
        <row r="47">
          <cell r="A47" t="str">
            <v>4900</v>
          </cell>
          <cell r="B47" t="str">
            <v>Transporte terrestre</v>
          </cell>
          <cell r="C47">
            <v>805</v>
          </cell>
          <cell r="D47">
            <v>0</v>
          </cell>
          <cell r="E47">
            <v>403427</v>
          </cell>
          <cell r="F47">
            <v>402622</v>
          </cell>
          <cell r="G47">
            <v>321513</v>
          </cell>
          <cell r="H47">
            <v>0.20145198225630989</v>
          </cell>
        </row>
        <row r="48">
          <cell r="A48" t="str">
            <v>5000</v>
          </cell>
          <cell r="B48" t="str">
            <v>Transporte aquaviário</v>
          </cell>
          <cell r="C48">
            <v>11493</v>
          </cell>
          <cell r="D48">
            <v>0</v>
          </cell>
          <cell r="E48">
            <v>47169</v>
          </cell>
          <cell r="F48">
            <v>35676</v>
          </cell>
          <cell r="G48">
            <v>34354</v>
          </cell>
          <cell r="H48">
            <v>3.7055723735844828E-2</v>
          </cell>
        </row>
        <row r="49">
          <cell r="A49" t="str">
            <v>5100</v>
          </cell>
          <cell r="B49" t="str">
            <v>Transporte aéreo</v>
          </cell>
          <cell r="C49">
            <v>9120</v>
          </cell>
          <cell r="D49">
            <v>0</v>
          </cell>
          <cell r="E49">
            <v>41533</v>
          </cell>
          <cell r="F49">
            <v>32413</v>
          </cell>
          <cell r="G49">
            <v>26246</v>
          </cell>
          <cell r="H49">
            <v>0.19026316601363649</v>
          </cell>
        </row>
        <row r="50">
          <cell r="A50" t="str">
            <v>5280</v>
          </cell>
          <cell r="B50" t="str">
            <v>Armazenamento, atividades auxiliares dos transportes e correio</v>
          </cell>
          <cell r="C50">
            <v>19601</v>
          </cell>
          <cell r="D50">
            <v>0</v>
          </cell>
          <cell r="E50">
            <v>211254</v>
          </cell>
          <cell r="F50">
            <v>191653</v>
          </cell>
          <cell r="G50">
            <v>151245</v>
          </cell>
          <cell r="H50">
            <v>0.21083938159068732</v>
          </cell>
        </row>
        <row r="51">
          <cell r="A51" t="str">
            <v>5500</v>
          </cell>
          <cell r="B51" t="str">
            <v>Alojamento</v>
          </cell>
          <cell r="C51">
            <v>5097</v>
          </cell>
          <cell r="D51">
            <v>0</v>
          </cell>
          <cell r="E51">
            <v>44768</v>
          </cell>
          <cell r="F51">
            <v>39671</v>
          </cell>
          <cell r="G51">
            <v>32808</v>
          </cell>
          <cell r="H51">
            <v>0.1729979077915858</v>
          </cell>
        </row>
        <row r="52">
          <cell r="A52" t="str">
            <v>5600</v>
          </cell>
          <cell r="B52" t="str">
            <v>Alimentação</v>
          </cell>
          <cell r="C52">
            <v>3208</v>
          </cell>
          <cell r="D52">
            <v>0</v>
          </cell>
          <cell r="E52">
            <v>327365</v>
          </cell>
          <cell r="F52">
            <v>324157</v>
          </cell>
          <cell r="G52">
            <v>54924</v>
          </cell>
          <cell r="H52">
            <v>0.83056358492952487</v>
          </cell>
        </row>
        <row r="53">
          <cell r="A53" t="str">
            <v>5800</v>
          </cell>
          <cell r="B53" t="str">
            <v>Edição e edição integrada à impressão</v>
          </cell>
          <cell r="C53">
            <v>1062</v>
          </cell>
          <cell r="D53">
            <v>-855</v>
          </cell>
          <cell r="E53">
            <v>32173</v>
          </cell>
          <cell r="F53">
            <v>31966</v>
          </cell>
          <cell r="G53">
            <v>18235</v>
          </cell>
          <cell r="H53">
            <v>0.42955014703122069</v>
          </cell>
        </row>
        <row r="54">
          <cell r="A54" t="str">
            <v>5980</v>
          </cell>
          <cell r="B54" t="str">
            <v>Atividades de televisão, rádio, cinema e  gravação/edição de som e imagem</v>
          </cell>
          <cell r="C54">
            <v>2041</v>
          </cell>
          <cell r="D54">
            <v>0</v>
          </cell>
          <cell r="E54">
            <v>48729</v>
          </cell>
          <cell r="F54">
            <v>46688</v>
          </cell>
          <cell r="G54">
            <v>45432</v>
          </cell>
          <cell r="H54">
            <v>2.6901987662782727E-2</v>
          </cell>
        </row>
        <row r="55">
          <cell r="A55" t="str">
            <v>6100</v>
          </cell>
          <cell r="B55" t="str">
            <v>Telecomunicações</v>
          </cell>
          <cell r="C55">
            <v>2850</v>
          </cell>
          <cell r="D55">
            <v>0</v>
          </cell>
          <cell r="E55">
            <v>231911</v>
          </cell>
          <cell r="F55">
            <v>229061</v>
          </cell>
          <cell r="G55">
            <v>86520</v>
          </cell>
          <cell r="H55">
            <v>0.62228402041377628</v>
          </cell>
        </row>
        <row r="56">
          <cell r="A56" t="str">
            <v>6280</v>
          </cell>
          <cell r="B56" t="str">
            <v>Desenvolvimento de sistemas e outros serviços de informação</v>
          </cell>
          <cell r="C56">
            <v>14988</v>
          </cell>
          <cell r="D56">
            <v>15</v>
          </cell>
          <cell r="E56">
            <v>313090</v>
          </cell>
          <cell r="F56">
            <v>298087</v>
          </cell>
          <cell r="G56">
            <v>153495</v>
          </cell>
          <cell r="H56">
            <v>0.48506644033453322</v>
          </cell>
        </row>
        <row r="57">
          <cell r="A57" t="str">
            <v>6480</v>
          </cell>
          <cell r="B57" t="str">
            <v>Intermediação financeira, seguros e previdência complementar</v>
          </cell>
          <cell r="C57">
            <v>10944</v>
          </cell>
          <cell r="D57">
            <v>0</v>
          </cell>
          <cell r="E57">
            <v>860098</v>
          </cell>
          <cell r="F57">
            <v>849154</v>
          </cell>
          <cell r="G57">
            <v>450878</v>
          </cell>
          <cell r="H57">
            <v>0.46902681963460102</v>
          </cell>
        </row>
        <row r="58">
          <cell r="A58" t="str">
            <v>6800</v>
          </cell>
          <cell r="B58" t="str">
            <v>Atividades imobiliárias</v>
          </cell>
          <cell r="C58">
            <v>5282</v>
          </cell>
          <cell r="D58">
            <v>0</v>
          </cell>
          <cell r="E58">
            <v>845320</v>
          </cell>
          <cell r="F58">
            <v>840038</v>
          </cell>
          <cell r="G58">
            <v>160017</v>
          </cell>
          <cell r="H58">
            <v>0.80951218873431918</v>
          </cell>
        </row>
        <row r="59">
          <cell r="A59" t="str">
            <v>6980</v>
          </cell>
          <cell r="B59" t="str">
            <v xml:space="preserve">Atividades jurídicas, contábeis, consultoria e sedes de empresas </v>
          </cell>
          <cell r="C59">
            <v>22883</v>
          </cell>
          <cell r="D59">
            <v>0</v>
          </cell>
          <cell r="E59">
            <v>320554</v>
          </cell>
          <cell r="F59">
            <v>297671</v>
          </cell>
          <cell r="G59">
            <v>274615</v>
          </cell>
          <cell r="H59">
            <v>7.7454639518125715E-2</v>
          </cell>
        </row>
        <row r="60">
          <cell r="A60" t="str">
            <v>7180</v>
          </cell>
          <cell r="B60" t="str">
            <v>Serviços de arquitetura, engenharia, testes/análises técnicas e P &amp; D</v>
          </cell>
          <cell r="C60">
            <v>28042</v>
          </cell>
          <cell r="D60">
            <v>0</v>
          </cell>
          <cell r="E60">
            <v>157881</v>
          </cell>
          <cell r="F60">
            <v>129839</v>
          </cell>
          <cell r="G60">
            <v>75653</v>
          </cell>
          <cell r="H60">
            <v>0.41733223453661844</v>
          </cell>
        </row>
        <row r="61">
          <cell r="A61" t="str">
            <v>7380</v>
          </cell>
          <cell r="B61" t="str">
            <v>Outras atividades profissionais, científicas e técnicas</v>
          </cell>
          <cell r="C61">
            <v>7028</v>
          </cell>
          <cell r="D61">
            <v>0</v>
          </cell>
          <cell r="E61">
            <v>189327</v>
          </cell>
          <cell r="F61">
            <v>182299</v>
          </cell>
          <cell r="G61">
            <v>179134</v>
          </cell>
          <cell r="H61">
            <v>1.7361587282431611E-2</v>
          </cell>
        </row>
        <row r="62">
          <cell r="A62" t="str">
            <v>7700</v>
          </cell>
          <cell r="B62" t="str">
            <v>Aluguéis não-imobiliários e gestão de ativos de propriedade intelectual</v>
          </cell>
          <cell r="C62">
            <v>8979</v>
          </cell>
          <cell r="D62">
            <v>0</v>
          </cell>
          <cell r="E62">
            <v>147943</v>
          </cell>
          <cell r="F62">
            <v>138964</v>
          </cell>
          <cell r="G62">
            <v>133080</v>
          </cell>
          <cell r="H62">
            <v>4.2341901499668981E-2</v>
          </cell>
        </row>
        <row r="63">
          <cell r="A63" t="str">
            <v>7880</v>
          </cell>
          <cell r="B63" t="str">
            <v>Outras atividades administrativas e serviços complementares</v>
          </cell>
          <cell r="C63">
            <v>9524</v>
          </cell>
          <cell r="D63">
            <v>0</v>
          </cell>
          <cell r="E63">
            <v>342973</v>
          </cell>
          <cell r="F63">
            <v>333449</v>
          </cell>
          <cell r="G63">
            <v>282017</v>
          </cell>
          <cell r="H63">
            <v>0.15424247786018253</v>
          </cell>
        </row>
        <row r="64">
          <cell r="A64" t="str">
            <v>8000</v>
          </cell>
          <cell r="B64" t="str">
            <v>Atividades de vigilância, segurança e investigação</v>
          </cell>
          <cell r="C64">
            <v>0</v>
          </cell>
          <cell r="D64">
            <v>0</v>
          </cell>
          <cell r="E64">
            <v>48457</v>
          </cell>
          <cell r="F64">
            <v>48457</v>
          </cell>
          <cell r="G64">
            <v>47918</v>
          </cell>
          <cell r="H64">
            <v>1.1123263924716759E-2</v>
          </cell>
        </row>
        <row r="65">
          <cell r="A65" t="str">
            <v>8400</v>
          </cell>
          <cell r="B65" t="str">
            <v>Administração pública, defesa e seguridade social</v>
          </cell>
          <cell r="C65">
            <v>0</v>
          </cell>
          <cell r="D65">
            <v>0</v>
          </cell>
          <cell r="E65">
            <v>933173</v>
          </cell>
          <cell r="F65">
            <v>933173</v>
          </cell>
          <cell r="G65">
            <v>0</v>
          </cell>
          <cell r="H65">
            <v>1</v>
          </cell>
        </row>
        <row r="66">
          <cell r="A66" t="str">
            <v>8591</v>
          </cell>
          <cell r="B66" t="str">
            <v>Educação pública</v>
          </cell>
          <cell r="C66">
            <v>0</v>
          </cell>
          <cell r="D66">
            <v>0</v>
          </cell>
          <cell r="E66">
            <v>388877</v>
          </cell>
          <cell r="F66">
            <v>388877</v>
          </cell>
          <cell r="G66">
            <v>0</v>
          </cell>
          <cell r="H66">
            <v>1</v>
          </cell>
        </row>
        <row r="67">
          <cell r="A67" t="str">
            <v>8592</v>
          </cell>
          <cell r="B67" t="str">
            <v>Educação privada</v>
          </cell>
          <cell r="C67">
            <v>36</v>
          </cell>
          <cell r="D67">
            <v>0</v>
          </cell>
          <cell r="E67">
            <v>158307</v>
          </cell>
          <cell r="F67">
            <v>158271</v>
          </cell>
          <cell r="G67">
            <v>21819</v>
          </cell>
          <cell r="H67">
            <v>0.86214151676554773</v>
          </cell>
        </row>
        <row r="68">
          <cell r="A68" t="str">
            <v>8691</v>
          </cell>
          <cell r="B68" t="str">
            <v>Saúde pública</v>
          </cell>
          <cell r="C68">
            <v>0</v>
          </cell>
          <cell r="D68">
            <v>0</v>
          </cell>
          <cell r="E68">
            <v>273993</v>
          </cell>
          <cell r="F68">
            <v>273993</v>
          </cell>
          <cell r="G68">
            <v>0</v>
          </cell>
          <cell r="H68">
            <v>1</v>
          </cell>
        </row>
        <row r="69">
          <cell r="A69" t="str">
            <v>8692</v>
          </cell>
          <cell r="B69" t="str">
            <v>Saúde privada</v>
          </cell>
          <cell r="C69">
            <v>572</v>
          </cell>
          <cell r="D69">
            <v>0</v>
          </cell>
          <cell r="E69">
            <v>395274</v>
          </cell>
          <cell r="F69">
            <v>394702</v>
          </cell>
          <cell r="G69">
            <v>48660</v>
          </cell>
          <cell r="H69">
            <v>0.87671711823096921</v>
          </cell>
        </row>
        <row r="70">
          <cell r="A70" t="str">
            <v>9080</v>
          </cell>
          <cell r="B70" t="str">
            <v>Atividades artísticas, criativas e de espetáculos</v>
          </cell>
          <cell r="C70">
            <v>2729</v>
          </cell>
          <cell r="D70">
            <v>0</v>
          </cell>
          <cell r="E70">
            <v>57203</v>
          </cell>
          <cell r="F70">
            <v>54474</v>
          </cell>
          <cell r="G70">
            <v>5839</v>
          </cell>
          <cell r="H70">
            <v>0.89281124940338508</v>
          </cell>
        </row>
        <row r="71">
          <cell r="A71" t="str">
            <v>9480</v>
          </cell>
          <cell r="B71" t="str">
            <v>Organizações associativas e outros serviços pessoais</v>
          </cell>
          <cell r="C71">
            <v>0</v>
          </cell>
          <cell r="D71">
            <v>0</v>
          </cell>
          <cell r="E71">
            <v>195531</v>
          </cell>
          <cell r="F71">
            <v>195531</v>
          </cell>
          <cell r="G71">
            <v>38655</v>
          </cell>
          <cell r="H71">
            <v>0.80230756248369828</v>
          </cell>
        </row>
        <row r="72">
          <cell r="A72" t="str">
            <v>9700</v>
          </cell>
          <cell r="B72" t="str">
            <v>Serviços domésticos</v>
          </cell>
          <cell r="C72">
            <v>0</v>
          </cell>
          <cell r="D72">
            <v>0</v>
          </cell>
          <cell r="E72">
            <v>61371</v>
          </cell>
          <cell r="F72">
            <v>61371</v>
          </cell>
          <cell r="G72">
            <v>0</v>
          </cell>
          <cell r="H72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etodologia"/>
      <sheetName val="Números"/>
      <sheetName val="Valor Livro Caixa - DIRPF"/>
      <sheetName val="Dados Amostra"/>
      <sheetName val="Critérios"/>
      <sheetName val="estim bc créditos"/>
    </sheetNames>
    <sheetDataSet>
      <sheetData sheetId="0"/>
      <sheetData sheetId="1"/>
      <sheetData sheetId="2"/>
      <sheetData sheetId="3"/>
      <sheetData sheetId="4"/>
      <sheetData sheetId="5">
        <row r="4">
          <cell r="H4">
            <v>10</v>
          </cell>
          <cell r="I4">
            <v>5860636.8806217546</v>
          </cell>
          <cell r="J4">
            <v>5330909.9500123607</v>
          </cell>
          <cell r="K4">
            <v>2232467.919121664</v>
          </cell>
          <cell r="L4">
            <v>2030681.2528310888</v>
          </cell>
        </row>
        <row r="5">
          <cell r="H5">
            <v>20</v>
          </cell>
          <cell r="I5">
            <v>5719096.1906019412</v>
          </cell>
          <cell r="J5">
            <v>5637762.841776873</v>
          </cell>
          <cell r="K5">
            <v>2178551.415479477</v>
          </cell>
          <cell r="L5">
            <v>2147569.4427510398</v>
          </cell>
        </row>
        <row r="6">
          <cell r="H6">
            <v>30</v>
          </cell>
          <cell r="I6">
            <v>1815945.0870994881</v>
          </cell>
          <cell r="J6">
            <v>1794206.1450418425</v>
          </cell>
          <cell r="K6">
            <v>691740.37436800043</v>
          </cell>
          <cell r="L6">
            <v>683459.45000296971</v>
          </cell>
        </row>
        <row r="7">
          <cell r="H7">
            <v>40</v>
          </cell>
          <cell r="I7">
            <v>10873838.129878687</v>
          </cell>
          <cell r="J7">
            <v>9745765.7871104088</v>
          </cell>
          <cell r="K7">
            <v>4142125.7240733011</v>
          </cell>
          <cell r="L7">
            <v>3712413.8400277873</v>
          </cell>
        </row>
        <row r="8">
          <cell r="H8">
            <v>50</v>
          </cell>
          <cell r="I8">
            <v>10106192.275779329</v>
          </cell>
          <cell r="J8">
            <v>11883249.432830952</v>
          </cell>
          <cell r="K8">
            <v>3849709.5963670998</v>
          </cell>
          <cell r="L8">
            <v>4526636.5540294917</v>
          </cell>
        </row>
        <row r="9">
          <cell r="H9">
            <v>101</v>
          </cell>
          <cell r="I9">
            <v>6021416.3367508464</v>
          </cell>
          <cell r="J9">
            <v>5052868.9905685522</v>
          </cell>
          <cell r="K9">
            <v>2293712.9655514895</v>
          </cell>
          <cell r="L9">
            <v>1924768.2719036203</v>
          </cell>
        </row>
        <row r="10">
          <cell r="H10">
            <v>102</v>
          </cell>
          <cell r="I10">
            <v>13683224.979239101</v>
          </cell>
          <cell r="J10">
            <v>27465285.295752171</v>
          </cell>
          <cell r="K10">
            <v>5212293.717988329</v>
          </cell>
          <cell r="L10">
            <v>10462236.368035438</v>
          </cell>
        </row>
        <row r="11">
          <cell r="H11">
            <v>103</v>
          </cell>
          <cell r="I11">
            <v>2557621.9270250746</v>
          </cell>
          <cell r="J11">
            <v>1613368.8232667719</v>
          </cell>
          <cell r="K11">
            <v>974264.23401271284</v>
          </cell>
          <cell r="L11">
            <v>614573.844621478</v>
          </cell>
        </row>
        <row r="12">
          <cell r="H12">
            <v>104</v>
          </cell>
          <cell r="I12">
            <v>11494298.452296922</v>
          </cell>
          <cell r="J12">
            <v>15654902.958084572</v>
          </cell>
          <cell r="K12">
            <v>4378475.0821894184</v>
          </cell>
          <cell r="L12">
            <v>5963356.7721020281</v>
          </cell>
        </row>
        <row r="13">
          <cell r="H13">
            <v>105</v>
          </cell>
          <cell r="I13">
            <v>2315051.8172602309</v>
          </cell>
          <cell r="J13">
            <v>2558776.4169721184</v>
          </cell>
          <cell r="K13">
            <v>881863.0156436977</v>
          </cell>
          <cell r="L13">
            <v>974704.00904437294</v>
          </cell>
        </row>
        <row r="14">
          <cell r="H14">
            <v>106</v>
          </cell>
          <cell r="I14">
            <v>29486.577617842013</v>
          </cell>
          <cell r="J14">
            <v>12433.465969163986</v>
          </cell>
          <cell r="K14">
            <v>11232.198806614942</v>
          </cell>
          <cell r="L14">
            <v>4736.2282402155543</v>
          </cell>
        </row>
        <row r="15">
          <cell r="H15">
            <v>107</v>
          </cell>
          <cell r="I15">
            <v>724113.6202644615</v>
          </cell>
          <cell r="J15">
            <v>3482617.3784819692</v>
          </cell>
          <cell r="K15">
            <v>275833.57576454326</v>
          </cell>
          <cell r="L15">
            <v>1326618.8863780543</v>
          </cell>
        </row>
        <row r="16">
          <cell r="H16">
            <v>108</v>
          </cell>
          <cell r="I16">
            <v>1248191.1334346272</v>
          </cell>
          <cell r="J16">
            <v>1683904.8513267091</v>
          </cell>
          <cell r="K16">
            <v>475468.23307525733</v>
          </cell>
          <cell r="L16">
            <v>641442.83906587865</v>
          </cell>
        </row>
        <row r="17">
          <cell r="H17">
            <v>109</v>
          </cell>
          <cell r="I17">
            <v>77470093.854911119</v>
          </cell>
          <cell r="J17">
            <v>83541445.584313571</v>
          </cell>
          <cell r="K17">
            <v>29510359.154700816</v>
          </cell>
          <cell r="L17">
            <v>31823093.800727352</v>
          </cell>
        </row>
        <row r="18">
          <cell r="H18">
            <v>110</v>
          </cell>
          <cell r="I18">
            <v>5105969.7654768182</v>
          </cell>
          <cell r="J18">
            <v>3930973.5805714824</v>
          </cell>
          <cell r="K18">
            <v>1944995.7282156087</v>
          </cell>
          <cell r="L18">
            <v>1497409.341049233</v>
          </cell>
        </row>
        <row r="19">
          <cell r="H19">
            <v>111</v>
          </cell>
          <cell r="I19">
            <v>5186036.1376303136</v>
          </cell>
          <cell r="J19">
            <v>6093110.0752400244</v>
          </cell>
          <cell r="K19">
            <v>1975495.0768144203</v>
          </cell>
          <cell r="L19">
            <v>2321022.9617923768</v>
          </cell>
        </row>
        <row r="20">
          <cell r="H20">
            <v>112</v>
          </cell>
          <cell r="I20">
            <v>337856.4933056648</v>
          </cell>
          <cell r="J20">
            <v>369365.99070137844</v>
          </cell>
          <cell r="K20">
            <v>128698.26231101033</v>
          </cell>
          <cell r="L20">
            <v>140701.04349613565</v>
          </cell>
        </row>
        <row r="21">
          <cell r="H21">
            <v>113</v>
          </cell>
          <cell r="I21">
            <v>3036319.9007117352</v>
          </cell>
          <cell r="J21">
            <v>5441597.5562168984</v>
          </cell>
          <cell r="K21">
            <v>1156612.6529597405</v>
          </cell>
          <cell r="L21">
            <v>2072845.0201706183</v>
          </cell>
        </row>
        <row r="22">
          <cell r="H22">
            <v>114</v>
          </cell>
          <cell r="I22">
            <v>538687.35631376167</v>
          </cell>
          <cell r="J22">
            <v>525619.03928713175</v>
          </cell>
          <cell r="K22">
            <v>205199.92381431247</v>
          </cell>
          <cell r="L22">
            <v>200221.86441340865</v>
          </cell>
        </row>
        <row r="23">
          <cell r="H23">
            <v>115</v>
          </cell>
          <cell r="I23">
            <v>642214.33201731986</v>
          </cell>
          <cell r="J23">
            <v>599925.46485488105</v>
          </cell>
          <cell r="K23">
            <v>244636.02209675068</v>
          </cell>
          <cell r="L23">
            <v>228527.10062640588</v>
          </cell>
        </row>
        <row r="24">
          <cell r="H24">
            <v>116</v>
          </cell>
          <cell r="I24">
            <v>15352129.221729469</v>
          </cell>
          <cell r="J24">
            <v>18388545.53844979</v>
          </cell>
          <cell r="K24">
            <v>5848022.4378080294</v>
          </cell>
          <cell r="L24">
            <v>7004671.8181150602</v>
          </cell>
        </row>
        <row r="25">
          <cell r="H25">
            <v>117</v>
          </cell>
          <cell r="I25">
            <v>11152614517.57139</v>
          </cell>
          <cell r="J25">
            <v>12585502847.169899</v>
          </cell>
          <cell r="K25">
            <v>4248318848.6107416</v>
          </cell>
          <cell r="L25">
            <v>4794143012.8905001</v>
          </cell>
        </row>
        <row r="26">
          <cell r="H26">
            <v>118</v>
          </cell>
          <cell r="I26">
            <v>686417.17386442691</v>
          </cell>
          <cell r="J26">
            <v>597810.81950584345</v>
          </cell>
          <cell r="K26">
            <v>261474.02594646299</v>
          </cell>
          <cell r="L26">
            <v>227721.57760933315</v>
          </cell>
        </row>
        <row r="27">
          <cell r="H27">
            <v>120</v>
          </cell>
          <cell r="I27">
            <v>744998476.9973197</v>
          </cell>
          <cell r="J27">
            <v>841513275.94506836</v>
          </cell>
          <cell r="K27">
            <v>283789156.97547328</v>
          </cell>
          <cell r="L27">
            <v>320554136.06567538</v>
          </cell>
        </row>
        <row r="28">
          <cell r="H28">
            <v>121</v>
          </cell>
          <cell r="I28">
            <v>2667023.3760058391</v>
          </cell>
          <cell r="J28">
            <v>1799684.3450201</v>
          </cell>
          <cell r="K28">
            <v>1015938.0708550103</v>
          </cell>
          <cell r="L28">
            <v>685546.23783083039</v>
          </cell>
        </row>
        <row r="29">
          <cell r="H29">
            <v>130</v>
          </cell>
          <cell r="I29">
            <v>62602208.529310308</v>
          </cell>
          <cell r="J29">
            <v>53444707.485316642</v>
          </cell>
          <cell r="K29">
            <v>23846797.720902819</v>
          </cell>
          <cell r="L29">
            <v>20358469.111492347</v>
          </cell>
        </row>
        <row r="30">
          <cell r="H30">
            <v>131</v>
          </cell>
          <cell r="I30">
            <v>1741396.3293603447</v>
          </cell>
          <cell r="J30">
            <v>1848397.9139248512</v>
          </cell>
          <cell r="K30">
            <v>663342.8275735036</v>
          </cell>
          <cell r="L30">
            <v>704102.4940911982</v>
          </cell>
        </row>
        <row r="31">
          <cell r="H31">
            <v>140</v>
          </cell>
          <cell r="I31">
            <v>3116423.0328973513</v>
          </cell>
          <cell r="J31">
            <v>1937265.2882442079</v>
          </cell>
          <cell r="K31">
            <v>1187126.0044039914</v>
          </cell>
          <cell r="L31">
            <v>737954.3716713516</v>
          </cell>
        </row>
        <row r="32">
          <cell r="H32">
            <v>211</v>
          </cell>
          <cell r="I32">
            <v>1209488.5139405669</v>
          </cell>
          <cell r="J32">
            <v>1070732.2841629991</v>
          </cell>
          <cell r="K32">
            <v>460725.40594461688</v>
          </cell>
          <cell r="L32">
            <v>407869.57510804903</v>
          </cell>
        </row>
        <row r="33">
          <cell r="H33">
            <v>212</v>
          </cell>
          <cell r="I33">
            <v>18184042.707888607</v>
          </cell>
          <cell r="J33">
            <v>11766075.020153817</v>
          </cell>
          <cell r="K33">
            <v>6926771.4093545396</v>
          </cell>
          <cell r="L33">
            <v>4482001.7946045268</v>
          </cell>
        </row>
        <row r="34">
          <cell r="H34">
            <v>213</v>
          </cell>
          <cell r="I34">
            <v>730169.20969967626</v>
          </cell>
          <cell r="J34">
            <v>960124.16488745296</v>
          </cell>
          <cell r="K34">
            <v>278140.30614570528</v>
          </cell>
          <cell r="L34">
            <v>365736.08639225562</v>
          </cell>
        </row>
        <row r="35">
          <cell r="H35">
            <v>214</v>
          </cell>
          <cell r="I35">
            <v>85746916.892887041</v>
          </cell>
          <cell r="J35">
            <v>89000720.552921757</v>
          </cell>
          <cell r="K35">
            <v>32663214.771063119</v>
          </cell>
          <cell r="L35">
            <v>33902672.603737704</v>
          </cell>
        </row>
        <row r="36">
          <cell r="H36">
            <v>215</v>
          </cell>
          <cell r="I36">
            <v>1506458.9346764185</v>
          </cell>
          <cell r="J36">
            <v>1730889.911058702</v>
          </cell>
          <cell r="K36">
            <v>573849.10746807943</v>
          </cell>
          <cell r="L36">
            <v>659340.66154939029</v>
          </cell>
        </row>
        <row r="37">
          <cell r="H37">
            <v>221</v>
          </cell>
          <cell r="I37">
            <v>16281458.735708112</v>
          </cell>
          <cell r="J37">
            <v>20636633.777983163</v>
          </cell>
          <cell r="K37">
            <v>6202028.0465005348</v>
          </cell>
          <cell r="L37">
            <v>7861026.6778927762</v>
          </cell>
        </row>
        <row r="38">
          <cell r="H38">
            <v>222</v>
          </cell>
          <cell r="I38">
            <v>4032353.1361760926</v>
          </cell>
          <cell r="J38">
            <v>3323515.8199449549</v>
          </cell>
          <cell r="K38">
            <v>1536027.4315660596</v>
          </cell>
          <cell r="L38">
            <v>1266012.9944671295</v>
          </cell>
        </row>
        <row r="39">
          <cell r="H39">
            <v>224</v>
          </cell>
          <cell r="I39">
            <v>11902779.184047604</v>
          </cell>
          <cell r="J39">
            <v>14593864.570611449</v>
          </cell>
          <cell r="K39">
            <v>4534075.9405582435</v>
          </cell>
          <cell r="L39">
            <v>5559179.8525555246</v>
          </cell>
        </row>
        <row r="40">
          <cell r="H40">
            <v>225</v>
          </cell>
          <cell r="I40">
            <v>5495704454.9484415</v>
          </cell>
          <cell r="J40">
            <v>5684351143.213439</v>
          </cell>
          <cell r="K40">
            <v>2093455735.0266666</v>
          </cell>
          <cell r="L40">
            <v>2165316129.7548709</v>
          </cell>
        </row>
        <row r="41">
          <cell r="H41">
            <v>226</v>
          </cell>
          <cell r="I41">
            <v>6383848598.8107014</v>
          </cell>
          <cell r="J41">
            <v>6709723974.0631123</v>
          </cell>
          <cell r="K41">
            <v>2431772772.7677798</v>
          </cell>
          <cell r="L41">
            <v>2555907117.8401127</v>
          </cell>
        </row>
        <row r="42">
          <cell r="H42">
            <v>227</v>
          </cell>
          <cell r="I42">
            <v>46734368.395302154</v>
          </cell>
          <cell r="J42">
            <v>52447623.415441059</v>
          </cell>
          <cell r="K42">
            <v>17802327.680103049</v>
          </cell>
          <cell r="L42">
            <v>19978654.04292452</v>
          </cell>
        </row>
        <row r="43">
          <cell r="H43">
            <v>228</v>
          </cell>
          <cell r="I43">
            <v>67301702.790554732</v>
          </cell>
          <cell r="J43">
            <v>63875682.012914099</v>
          </cell>
          <cell r="K43">
            <v>25636956.433689594</v>
          </cell>
          <cell r="L43">
            <v>24331896.653989416</v>
          </cell>
        </row>
        <row r="44">
          <cell r="H44">
            <v>229</v>
          </cell>
          <cell r="I44">
            <v>342601357.63700384</v>
          </cell>
          <cell r="J44">
            <v>8388291.9864749182</v>
          </cell>
          <cell r="K44">
            <v>130505703.65502605</v>
          </cell>
          <cell r="L44">
            <v>3195317.0171573376</v>
          </cell>
        </row>
        <row r="45">
          <cell r="H45">
            <v>230</v>
          </cell>
          <cell r="I45">
            <v>1830034.6414305037</v>
          </cell>
          <cell r="J45">
            <v>79487885.272317722</v>
          </cell>
          <cell r="K45">
            <v>697107.44942817325</v>
          </cell>
          <cell r="L45">
            <v>30278988.008287352</v>
          </cell>
        </row>
        <row r="46">
          <cell r="H46">
            <v>231</v>
          </cell>
          <cell r="I46">
            <v>5026740.7316896664</v>
          </cell>
          <cell r="J46">
            <v>218337391.8331416</v>
          </cell>
          <cell r="K46">
            <v>1914815.3434219926</v>
          </cell>
          <cell r="L46">
            <v>83170350.38015756</v>
          </cell>
        </row>
        <row r="47">
          <cell r="H47">
            <v>232</v>
          </cell>
          <cell r="I47">
            <v>506445.75425064249</v>
          </cell>
          <cell r="J47">
            <v>21997562.832504578</v>
          </cell>
          <cell r="K47">
            <v>192918.26505722458</v>
          </cell>
          <cell r="L47">
            <v>8379439.6961887181</v>
          </cell>
        </row>
        <row r="48">
          <cell r="H48">
            <v>241</v>
          </cell>
          <cell r="I48">
            <v>449161420.84476042</v>
          </cell>
          <cell r="J48">
            <v>504154134.00554186</v>
          </cell>
          <cell r="K48">
            <v>171097183.28712627</v>
          </cell>
          <cell r="L48">
            <v>192045327.73245823</v>
          </cell>
        </row>
        <row r="49">
          <cell r="H49">
            <v>250</v>
          </cell>
          <cell r="I49">
            <v>545062.25013619591</v>
          </cell>
          <cell r="J49">
            <v>511374.40046781686</v>
          </cell>
          <cell r="K49">
            <v>207628.28548153138</v>
          </cell>
          <cell r="L49">
            <v>194795.71366710583</v>
          </cell>
        </row>
        <row r="50">
          <cell r="H50">
            <v>251</v>
          </cell>
          <cell r="I50">
            <v>17781.023922405286</v>
          </cell>
          <cell r="J50">
            <v>435.35268367985401</v>
          </cell>
          <cell r="K50">
            <v>6773.2511473553968</v>
          </cell>
          <cell r="L50">
            <v>165.83707873668598</v>
          </cell>
        </row>
        <row r="51">
          <cell r="H51">
            <v>252</v>
          </cell>
          <cell r="I51">
            <v>266706157.31082803</v>
          </cell>
          <cell r="J51">
            <v>271840534.86998373</v>
          </cell>
          <cell r="K51">
            <v>101595262.11176422</v>
          </cell>
          <cell r="L51">
            <v>103551079.10212812</v>
          </cell>
        </row>
        <row r="52">
          <cell r="H52">
            <v>253</v>
          </cell>
          <cell r="I52">
            <v>7362815.3806718718</v>
          </cell>
          <cell r="J52">
            <v>7801226.8278308902</v>
          </cell>
          <cell r="K52">
            <v>2804686.498512716</v>
          </cell>
          <cell r="L52">
            <v>2971688.7392409244</v>
          </cell>
        </row>
        <row r="53">
          <cell r="H53">
            <v>254</v>
          </cell>
          <cell r="I53">
            <v>11173425.204794532</v>
          </cell>
          <cell r="J53">
            <v>13455889.658782585</v>
          </cell>
          <cell r="K53">
            <v>4256246.1767402422</v>
          </cell>
          <cell r="L53">
            <v>5125695.824254198</v>
          </cell>
        </row>
        <row r="54">
          <cell r="H54">
            <v>255</v>
          </cell>
          <cell r="I54">
            <v>485527530.69528496</v>
          </cell>
          <cell r="J54">
            <v>580950284.27903771</v>
          </cell>
          <cell r="K54">
            <v>184949973.56201825</v>
          </cell>
          <cell r="L54">
            <v>221298964.37466517</v>
          </cell>
        </row>
        <row r="55">
          <cell r="H55">
            <v>256</v>
          </cell>
          <cell r="I55">
            <v>15520.811039568713</v>
          </cell>
          <cell r="J55">
            <v>18730.316761643378</v>
          </cell>
          <cell r="K55">
            <v>5912.277697865241</v>
          </cell>
          <cell r="L55">
            <v>7134.8613021251513</v>
          </cell>
        </row>
        <row r="56">
          <cell r="H56">
            <v>257</v>
          </cell>
          <cell r="I56">
            <v>35506.314360658471</v>
          </cell>
          <cell r="J56">
            <v>73823.53096765923</v>
          </cell>
          <cell r="K56">
            <v>13525.271971466942</v>
          </cell>
          <cell r="L56">
            <v>28121.289190689353</v>
          </cell>
        </row>
        <row r="57">
          <cell r="H57">
            <v>258</v>
          </cell>
          <cell r="I57">
            <v>951356.03430906206</v>
          </cell>
          <cell r="J57">
            <v>962279.87191050523</v>
          </cell>
          <cell r="K57">
            <v>362396.07904737967</v>
          </cell>
          <cell r="L57">
            <v>366557.25086124055</v>
          </cell>
        </row>
        <row r="58">
          <cell r="H58">
            <v>259</v>
          </cell>
          <cell r="I58">
            <v>117209.68708533123</v>
          </cell>
          <cell r="J58">
            <v>156838.82792574156</v>
          </cell>
          <cell r="K58">
            <v>44648.196357889785</v>
          </cell>
          <cell r="L58">
            <v>59743.959393661476</v>
          </cell>
        </row>
        <row r="59">
          <cell r="H59">
            <v>261</v>
          </cell>
          <cell r="I59">
            <v>3285335.1699634148</v>
          </cell>
          <cell r="J59">
            <v>4931330.4968680497</v>
          </cell>
          <cell r="K59">
            <v>1251468.9990019202</v>
          </cell>
          <cell r="L59">
            <v>1878471.1213290982</v>
          </cell>
        </row>
        <row r="60">
          <cell r="H60">
            <v>263</v>
          </cell>
          <cell r="I60">
            <v>166193581.51897937</v>
          </cell>
          <cell r="J60">
            <v>13848366.669809982</v>
          </cell>
          <cell r="K60">
            <v>63307426.592464611</v>
          </cell>
          <cell r="L60">
            <v>5275200.4521571072</v>
          </cell>
        </row>
        <row r="61">
          <cell r="H61">
            <v>264</v>
          </cell>
          <cell r="I61">
            <v>3399246.6631297073</v>
          </cell>
          <cell r="J61">
            <v>3594364.3472595918</v>
          </cell>
          <cell r="K61">
            <v>1294860.828131251</v>
          </cell>
          <cell r="L61">
            <v>1369186.1922761577</v>
          </cell>
        </row>
        <row r="62">
          <cell r="H62">
            <v>265</v>
          </cell>
          <cell r="I62">
            <v>73369.849103284927</v>
          </cell>
          <cell r="J62">
            <v>181409.88383269194</v>
          </cell>
          <cell r="K62">
            <v>27948.470053736532</v>
          </cell>
          <cell r="L62">
            <v>69103.709053734623</v>
          </cell>
        </row>
        <row r="63">
          <cell r="H63">
            <v>266</v>
          </cell>
          <cell r="I63">
            <v>647977.83404131921</v>
          </cell>
          <cell r="J63">
            <v>673404.64350158453</v>
          </cell>
          <cell r="K63">
            <v>246831.48884080295</v>
          </cell>
          <cell r="L63">
            <v>256517.21712629937</v>
          </cell>
        </row>
        <row r="64">
          <cell r="H64">
            <v>271</v>
          </cell>
          <cell r="I64">
            <v>6564.604069249699</v>
          </cell>
          <cell r="J64">
            <v>27677.326968444926</v>
          </cell>
          <cell r="K64">
            <v>2500.627198861825</v>
          </cell>
          <cell r="L64">
            <v>10543.008516429189</v>
          </cell>
        </row>
        <row r="65">
          <cell r="H65">
            <v>272</v>
          </cell>
          <cell r="I65">
            <v>102220.9418782587</v>
          </cell>
          <cell r="J65">
            <v>216947.71290566985</v>
          </cell>
          <cell r="K65">
            <v>38938.596274438096</v>
          </cell>
          <cell r="L65">
            <v>82640.985792885796</v>
          </cell>
        </row>
        <row r="66">
          <cell r="H66">
            <v>273</v>
          </cell>
          <cell r="I66">
            <v>1273650.3820663013</v>
          </cell>
          <cell r="J66">
            <v>825162.81898863392</v>
          </cell>
          <cell r="K66">
            <v>485166.31827877613</v>
          </cell>
          <cell r="L66">
            <v>314325.82481525256</v>
          </cell>
        </row>
        <row r="67">
          <cell r="H67">
            <v>274</v>
          </cell>
          <cell r="I67">
            <v>2724803.5932282596</v>
          </cell>
          <cell r="J67">
            <v>2715868.9536147597</v>
          </cell>
          <cell r="K67">
            <v>1037948.0475753646</v>
          </cell>
          <cell r="L67">
            <v>1034544.6126394783</v>
          </cell>
        </row>
        <row r="68">
          <cell r="H68">
            <v>275</v>
          </cell>
          <cell r="I68">
            <v>3166915.7736087455</v>
          </cell>
          <cell r="J68">
            <v>2928857.5490449527</v>
          </cell>
          <cell r="K68">
            <v>1206359.9931466545</v>
          </cell>
          <cell r="L68">
            <v>1115677.4683550238</v>
          </cell>
        </row>
        <row r="69">
          <cell r="H69">
            <v>276</v>
          </cell>
          <cell r="I69">
            <v>2194996.1596075911</v>
          </cell>
          <cell r="J69">
            <v>1657959.6755744026</v>
          </cell>
          <cell r="K69">
            <v>836130.71560907469</v>
          </cell>
          <cell r="L69">
            <v>631559.65167467273</v>
          </cell>
        </row>
        <row r="70">
          <cell r="H70">
            <v>277</v>
          </cell>
          <cell r="I70">
            <v>2739590.2488566018</v>
          </cell>
          <cell r="J70">
            <v>2155244.7879697657</v>
          </cell>
          <cell r="K70">
            <v>1043580.6665199923</v>
          </cell>
          <cell r="L70">
            <v>820988.39170636714</v>
          </cell>
        </row>
        <row r="71">
          <cell r="H71">
            <v>279</v>
          </cell>
          <cell r="I71">
            <v>1901973.1791053901</v>
          </cell>
          <cell r="J71">
            <v>1830565.9602720258</v>
          </cell>
          <cell r="K71">
            <v>724510.69600001536</v>
          </cell>
          <cell r="L71">
            <v>697309.84249443631</v>
          </cell>
        </row>
        <row r="72">
          <cell r="H72">
            <v>290</v>
          </cell>
          <cell r="I72">
            <v>2285084.4227058953</v>
          </cell>
          <cell r="J72">
            <v>2830095.5146904718</v>
          </cell>
          <cell r="K72">
            <v>870447.66125048755</v>
          </cell>
          <cell r="L72">
            <v>1078056.4592710794</v>
          </cell>
        </row>
        <row r="73">
          <cell r="H73">
            <v>291</v>
          </cell>
          <cell r="I73">
            <v>7312711.6961542359</v>
          </cell>
          <cell r="J73">
            <v>7708435.657626546</v>
          </cell>
          <cell r="K73">
            <v>2785600.7113203267</v>
          </cell>
          <cell r="L73">
            <v>2936342.1864893096</v>
          </cell>
        </row>
        <row r="74">
          <cell r="H74">
            <v>292</v>
          </cell>
          <cell r="I74">
            <v>7502294.1693827594</v>
          </cell>
          <cell r="J74">
            <v>6185402.4348234739</v>
          </cell>
          <cell r="K74">
            <v>2857817.5707046469</v>
          </cell>
          <cell r="L74">
            <v>2356179.5046983818</v>
          </cell>
        </row>
        <row r="75">
          <cell r="H75">
            <v>293</v>
          </cell>
          <cell r="I75">
            <v>1818855.8681944525</v>
          </cell>
          <cell r="J75">
            <v>2683760.4639294832</v>
          </cell>
          <cell r="K75">
            <v>692849.16604823235</v>
          </cell>
          <cell r="L75">
            <v>1022313.6598242915</v>
          </cell>
        </row>
        <row r="76">
          <cell r="H76">
            <v>294</v>
          </cell>
          <cell r="I76">
            <v>48153386.079476945</v>
          </cell>
          <cell r="J76">
            <v>50347882.49964387</v>
          </cell>
          <cell r="K76">
            <v>18342868.157378014</v>
          </cell>
          <cell r="L76">
            <v>19178808.509330045</v>
          </cell>
        </row>
        <row r="77">
          <cell r="H77">
            <v>295</v>
          </cell>
          <cell r="I77">
            <v>14527918.704583922</v>
          </cell>
          <cell r="J77">
            <v>14727685.889868636</v>
          </cell>
          <cell r="K77">
            <v>5534059.3693548106</v>
          </cell>
          <cell r="L77">
            <v>5610155.8485473655</v>
          </cell>
        </row>
        <row r="78">
          <cell r="H78">
            <v>296</v>
          </cell>
          <cell r="I78">
            <v>6016288.7590655107</v>
          </cell>
          <cell r="J78">
            <v>6969829.2062206613</v>
          </cell>
          <cell r="K78">
            <v>2291759.7388086473</v>
          </cell>
          <cell r="L78">
            <v>2654987.9171142383</v>
          </cell>
        </row>
        <row r="79">
          <cell r="H79">
            <v>311</v>
          </cell>
          <cell r="I79">
            <v>169091.02754494851</v>
          </cell>
          <cell r="J79">
            <v>117433.57356439487</v>
          </cell>
          <cell r="K79">
            <v>64411.138600582817</v>
          </cell>
          <cell r="L79">
            <v>44733.480498882607</v>
          </cell>
        </row>
        <row r="80">
          <cell r="H80">
            <v>312</v>
          </cell>
          <cell r="I80">
            <v>4539637.9273630697</v>
          </cell>
          <cell r="J80">
            <v>2588772.2795512639</v>
          </cell>
          <cell r="K80">
            <v>1729265.3074576491</v>
          </cell>
          <cell r="L80">
            <v>986130.20764332451</v>
          </cell>
        </row>
        <row r="81">
          <cell r="H81">
            <v>313</v>
          </cell>
          <cell r="I81">
            <v>1495781.5029648279</v>
          </cell>
          <cell r="J81">
            <v>1000916.3431825211</v>
          </cell>
          <cell r="K81">
            <v>569781.79802026914</v>
          </cell>
          <cell r="L81">
            <v>381274.8804260483</v>
          </cell>
        </row>
        <row r="82">
          <cell r="H82">
            <v>314</v>
          </cell>
          <cell r="I82">
            <v>226817.13561250066</v>
          </cell>
          <cell r="J82">
            <v>1276339.9601037179</v>
          </cell>
          <cell r="K82">
            <v>86400.503746660324</v>
          </cell>
          <cell r="L82">
            <v>486190.84800256096</v>
          </cell>
        </row>
        <row r="83">
          <cell r="H83">
            <v>316</v>
          </cell>
          <cell r="I83">
            <v>73403.735630470721</v>
          </cell>
          <cell r="J83">
            <v>77933.852866719069</v>
          </cell>
          <cell r="K83">
            <v>27961.378306947521</v>
          </cell>
          <cell r="L83">
            <v>29687.016937319651</v>
          </cell>
        </row>
        <row r="84">
          <cell r="H84">
            <v>317</v>
          </cell>
          <cell r="I84">
            <v>1449054.2031988995</v>
          </cell>
          <cell r="J84">
            <v>1402003.1103514615</v>
          </cell>
          <cell r="K84">
            <v>551982.16296361818</v>
          </cell>
          <cell r="L84">
            <v>534059.18676134979</v>
          </cell>
        </row>
        <row r="85">
          <cell r="H85">
            <v>318</v>
          </cell>
          <cell r="I85">
            <v>281659.72502907272</v>
          </cell>
          <cell r="J85">
            <v>152910.78876128225</v>
          </cell>
          <cell r="K85">
            <v>107291.46218138072</v>
          </cell>
          <cell r="L85">
            <v>58247.667847480829</v>
          </cell>
        </row>
        <row r="86">
          <cell r="H86">
            <v>319</v>
          </cell>
          <cell r="I86">
            <v>2450848.9441608652</v>
          </cell>
          <cell r="J86">
            <v>2873746.5103771077</v>
          </cell>
          <cell r="K86">
            <v>933591.64778553369</v>
          </cell>
          <cell r="L86">
            <v>1094684.2506686917</v>
          </cell>
        </row>
        <row r="87">
          <cell r="H87">
            <v>320</v>
          </cell>
          <cell r="I87">
            <v>117446.37670546529</v>
          </cell>
          <cell r="J87">
            <v>16783.270651769675</v>
          </cell>
          <cell r="K87">
            <v>44738.357545914514</v>
          </cell>
          <cell r="L87">
            <v>6393.1811629382082</v>
          </cell>
        </row>
        <row r="88">
          <cell r="H88">
            <v>321</v>
          </cell>
          <cell r="I88">
            <v>667037.92221543402</v>
          </cell>
          <cell r="J88">
            <v>364936.36512062803</v>
          </cell>
          <cell r="K88">
            <v>254091.96858917925</v>
          </cell>
          <cell r="L88">
            <v>139013.68473220267</v>
          </cell>
        </row>
        <row r="89">
          <cell r="H89">
            <v>322</v>
          </cell>
          <cell r="I89">
            <v>10561631.370197998</v>
          </cell>
          <cell r="J89">
            <v>11459637.232907465</v>
          </cell>
          <cell r="K89">
            <v>4023198.1076183943</v>
          </cell>
          <cell r="L89">
            <v>4365271.7287142249</v>
          </cell>
        </row>
        <row r="90">
          <cell r="H90">
            <v>323</v>
          </cell>
          <cell r="I90">
            <v>171626.32390766687</v>
          </cell>
          <cell r="J90">
            <v>69408.043725219337</v>
          </cell>
          <cell r="K90">
            <v>65376.898450668275</v>
          </cell>
          <cell r="L90">
            <v>26439.316084894021</v>
          </cell>
        </row>
        <row r="91">
          <cell r="H91">
            <v>324</v>
          </cell>
          <cell r="I91">
            <v>6320333.5723235104</v>
          </cell>
          <cell r="J91">
            <v>6219160.7603028994</v>
          </cell>
          <cell r="K91">
            <v>2407578.259116258</v>
          </cell>
          <cell r="L91">
            <v>2369038.9225690365</v>
          </cell>
        </row>
        <row r="92">
          <cell r="H92">
            <v>325</v>
          </cell>
          <cell r="I92">
            <v>166485.22729468148</v>
          </cell>
          <cell r="J92">
            <v>152921.84073733102</v>
          </cell>
          <cell r="K92">
            <v>63418.521999203615</v>
          </cell>
          <cell r="L92">
            <v>58251.877830538018</v>
          </cell>
        </row>
        <row r="93">
          <cell r="H93">
            <v>328</v>
          </cell>
          <cell r="I93">
            <v>20826.251486247318</v>
          </cell>
          <cell r="J93">
            <v>49081.462535407205</v>
          </cell>
          <cell r="K93">
            <v>7933.2569592119944</v>
          </cell>
          <cell r="L93">
            <v>18696.396443903868</v>
          </cell>
        </row>
        <row r="94">
          <cell r="H94">
            <v>341</v>
          </cell>
          <cell r="I94">
            <v>522656.1770802674</v>
          </cell>
          <cell r="J94">
            <v>528221.4966319137</v>
          </cell>
          <cell r="K94">
            <v>199093.23369283398</v>
          </cell>
          <cell r="L94">
            <v>201213.20761576926</v>
          </cell>
        </row>
        <row r="95">
          <cell r="H95">
            <v>342</v>
          </cell>
          <cell r="I95">
            <v>2450626.9690893958</v>
          </cell>
          <cell r="J95">
            <v>2815687.9658413404</v>
          </cell>
          <cell r="K95">
            <v>933507.09174904926</v>
          </cell>
          <cell r="L95">
            <v>1072568.2518878141</v>
          </cell>
        </row>
        <row r="96">
          <cell r="H96">
            <v>351</v>
          </cell>
          <cell r="I96">
            <v>63837521.436231375</v>
          </cell>
          <cell r="J96">
            <v>63122972.084074192</v>
          </cell>
          <cell r="K96">
            <v>24317360.30496205</v>
          </cell>
          <cell r="L96">
            <v>24045170.005884718</v>
          </cell>
        </row>
        <row r="97">
          <cell r="H97">
            <v>352</v>
          </cell>
          <cell r="I97">
            <v>867563.47060677211</v>
          </cell>
          <cell r="J97">
            <v>638075.99622270488</v>
          </cell>
          <cell r="K97">
            <v>330477.32787123189</v>
          </cell>
          <cell r="L97">
            <v>243059.62313393853</v>
          </cell>
        </row>
        <row r="98">
          <cell r="H98">
            <v>353</v>
          </cell>
          <cell r="I98">
            <v>3134709.8279339983</v>
          </cell>
          <cell r="J98">
            <v>3047192.8419463392</v>
          </cell>
          <cell r="K98">
            <v>1194091.9168286042</v>
          </cell>
          <cell r="L98">
            <v>1160754.4370332442</v>
          </cell>
        </row>
        <row r="99">
          <cell r="H99">
            <v>354</v>
          </cell>
          <cell r="I99">
            <v>651668392.00070894</v>
          </cell>
          <cell r="J99">
            <v>740806881.52827775</v>
          </cell>
          <cell r="K99">
            <v>248237317.6638169</v>
          </cell>
          <cell r="L99">
            <v>282192470.02741939</v>
          </cell>
        </row>
        <row r="100">
          <cell r="H100">
            <v>355</v>
          </cell>
          <cell r="I100">
            <v>8326806.3975974442</v>
          </cell>
          <cell r="J100">
            <v>8091344.8861402879</v>
          </cell>
          <cell r="K100">
            <v>3171895.5686947773</v>
          </cell>
          <cell r="L100">
            <v>3082202.1989768716</v>
          </cell>
        </row>
        <row r="101">
          <cell r="H101">
            <v>371</v>
          </cell>
          <cell r="I101">
            <v>311079.21852145332</v>
          </cell>
          <cell r="J101">
            <v>27001.788696527576</v>
          </cell>
          <cell r="K101">
            <v>118498.10691238484</v>
          </cell>
          <cell r="L101">
            <v>10285.678545145527</v>
          </cell>
        </row>
        <row r="102">
          <cell r="H102">
            <v>372</v>
          </cell>
          <cell r="I102">
            <v>1678154.6643748907</v>
          </cell>
          <cell r="J102">
            <v>2241836.2961929804</v>
          </cell>
          <cell r="K102">
            <v>639252.44437663723</v>
          </cell>
          <cell r="L102">
            <v>853973.33312389068</v>
          </cell>
        </row>
        <row r="103">
          <cell r="H103">
            <v>373</v>
          </cell>
          <cell r="I103">
            <v>26634.323054354929</v>
          </cell>
          <cell r="J103">
            <v>25874.865657368682</v>
          </cell>
          <cell r="K103">
            <v>10145.701393474112</v>
          </cell>
          <cell r="L103">
            <v>9856.4044605217387</v>
          </cell>
        </row>
        <row r="104">
          <cell r="H104">
            <v>374</v>
          </cell>
          <cell r="I104">
            <v>603014.58501666225</v>
          </cell>
          <cell r="J104">
            <v>642652.16542117868</v>
          </cell>
          <cell r="K104">
            <v>229703.82626219667</v>
          </cell>
          <cell r="L104">
            <v>244802.80414585982</v>
          </cell>
        </row>
        <row r="105">
          <cell r="H105">
            <v>375</v>
          </cell>
          <cell r="I105">
            <v>1448903.2391863454</v>
          </cell>
          <cell r="J105">
            <v>855883.78164455213</v>
          </cell>
          <cell r="K105">
            <v>551924.65687309694</v>
          </cell>
          <cell r="L105">
            <v>326028.23275672464</v>
          </cell>
        </row>
        <row r="106">
          <cell r="H106">
            <v>376</v>
          </cell>
          <cell r="I106">
            <v>118702.87551345516</v>
          </cell>
          <cell r="J106">
            <v>578060.10942059965</v>
          </cell>
          <cell r="K106">
            <v>45216.990386745696</v>
          </cell>
          <cell r="L106">
            <v>220198.02214201307</v>
          </cell>
        </row>
        <row r="107">
          <cell r="H107">
            <v>377</v>
          </cell>
          <cell r="I107">
            <v>3103461.4550798573</v>
          </cell>
          <cell r="J107">
            <v>3633764.4261056324</v>
          </cell>
          <cell r="K107">
            <v>1182188.6047240295</v>
          </cell>
          <cell r="L107">
            <v>1384194.6996835163</v>
          </cell>
        </row>
        <row r="108">
          <cell r="H108">
            <v>391</v>
          </cell>
          <cell r="I108">
            <v>40771858.034934893</v>
          </cell>
          <cell r="J108">
            <v>41568730.163537785</v>
          </cell>
          <cell r="K108">
            <v>15531053.522005359</v>
          </cell>
          <cell r="L108">
            <v>15834602.69234048</v>
          </cell>
        </row>
        <row r="109">
          <cell r="H109">
            <v>410</v>
          </cell>
          <cell r="I109">
            <v>69437462.14385812</v>
          </cell>
          <cell r="J109">
            <v>78128038.236522749</v>
          </cell>
          <cell r="K109">
            <v>26450522.320185535</v>
          </cell>
          <cell r="L109">
            <v>29760987.158863816</v>
          </cell>
        </row>
        <row r="110">
          <cell r="H110">
            <v>420</v>
          </cell>
          <cell r="I110">
            <v>45714583.802801557</v>
          </cell>
          <cell r="J110">
            <v>42000857.98161561</v>
          </cell>
          <cell r="K110">
            <v>17413865.396302488</v>
          </cell>
          <cell r="L110">
            <v>15999211.336498015</v>
          </cell>
        </row>
        <row r="111">
          <cell r="H111">
            <v>511</v>
          </cell>
          <cell r="I111">
            <v>2402231.4983797278</v>
          </cell>
          <cell r="J111">
            <v>3134931.383478445</v>
          </cell>
          <cell r="K111">
            <v>915072.00730500766</v>
          </cell>
          <cell r="L111">
            <v>1194176.3130564129</v>
          </cell>
        </row>
        <row r="112">
          <cell r="H112">
            <v>512</v>
          </cell>
          <cell r="I112">
            <v>955749.41634101933</v>
          </cell>
          <cell r="J112">
            <v>362877.29348467622</v>
          </cell>
          <cell r="K112">
            <v>364069.63170770928</v>
          </cell>
          <cell r="L112">
            <v>138229.33117744906</v>
          </cell>
        </row>
        <row r="113">
          <cell r="H113">
            <v>513</v>
          </cell>
          <cell r="I113">
            <v>4599991.3825999266</v>
          </cell>
          <cell r="J113">
            <v>4662429.7172094835</v>
          </cell>
          <cell r="K113">
            <v>1752255.4969829442</v>
          </cell>
          <cell r="L113">
            <v>1776039.8708963185</v>
          </cell>
        </row>
        <row r="114">
          <cell r="H114">
            <v>514</v>
          </cell>
          <cell r="I114">
            <v>3554876.8002352533</v>
          </cell>
          <cell r="J114">
            <v>3044678.9002418965</v>
          </cell>
          <cell r="K114">
            <v>1354144.3659811132</v>
          </cell>
          <cell r="L114">
            <v>1159796.8117239084</v>
          </cell>
        </row>
        <row r="115">
          <cell r="H115">
            <v>515</v>
          </cell>
          <cell r="I115">
            <v>25098001.574652243</v>
          </cell>
          <cell r="J115">
            <v>23698547.822461665</v>
          </cell>
          <cell r="K115">
            <v>9560476.8715054505</v>
          </cell>
          <cell r="L115">
            <v>9027388.8010962065</v>
          </cell>
        </row>
        <row r="116">
          <cell r="H116">
            <v>516</v>
          </cell>
          <cell r="I116">
            <v>23438097.263575204</v>
          </cell>
          <cell r="J116">
            <v>23340319.045270354</v>
          </cell>
          <cell r="K116">
            <v>8928176.4579541348</v>
          </cell>
          <cell r="L116">
            <v>8890930.2098072432</v>
          </cell>
        </row>
        <row r="117">
          <cell r="H117">
            <v>517</v>
          </cell>
          <cell r="I117">
            <v>1146573.9767479894</v>
          </cell>
          <cell r="J117">
            <v>1139536.8293009493</v>
          </cell>
          <cell r="K117">
            <v>436759.63417103532</v>
          </cell>
          <cell r="L117">
            <v>434079.00299772515</v>
          </cell>
        </row>
        <row r="118">
          <cell r="H118">
            <v>518</v>
          </cell>
          <cell r="I118">
            <v>63674840.959761694</v>
          </cell>
          <cell r="J118">
            <v>67368202.482414052</v>
          </cell>
          <cell r="K118">
            <v>24255391.110797022</v>
          </cell>
          <cell r="L118">
            <v>25662287.883450333</v>
          </cell>
        </row>
        <row r="119">
          <cell r="H119">
            <v>519</v>
          </cell>
          <cell r="I119">
            <v>87711046.076608181</v>
          </cell>
          <cell r="J119">
            <v>108283011.00158106</v>
          </cell>
          <cell r="K119">
            <v>33411402.294191644</v>
          </cell>
          <cell r="L119">
            <v>41247794.936116554</v>
          </cell>
        </row>
        <row r="120">
          <cell r="H120">
            <v>529</v>
          </cell>
          <cell r="I120">
            <v>234053001.22164461</v>
          </cell>
          <cell r="J120">
            <v>240430655.65044719</v>
          </cell>
          <cell r="K120">
            <v>89156831.799145952</v>
          </cell>
          <cell r="L120">
            <v>91586245.052613974</v>
          </cell>
        </row>
        <row r="121">
          <cell r="H121">
            <v>610</v>
          </cell>
          <cell r="I121">
            <v>85623639.110742331</v>
          </cell>
          <cell r="J121">
            <v>100146525.16867206</v>
          </cell>
          <cell r="K121">
            <v>32616255.080608908</v>
          </cell>
          <cell r="L121">
            <v>38148397.384901911</v>
          </cell>
        </row>
        <row r="122">
          <cell r="H122">
            <v>620</v>
          </cell>
          <cell r="I122">
            <v>14443606.554504367</v>
          </cell>
          <cell r="J122">
            <v>58842824.777515411</v>
          </cell>
          <cell r="K122">
            <v>5501942.6943109864</v>
          </cell>
          <cell r="L122">
            <v>22414751.376366463</v>
          </cell>
        </row>
        <row r="123">
          <cell r="H123">
            <v>630</v>
          </cell>
          <cell r="I123">
            <v>169537.09332253123</v>
          </cell>
          <cell r="J123">
            <v>750176.2027775076</v>
          </cell>
          <cell r="K123">
            <v>64581.056573416827</v>
          </cell>
          <cell r="L123">
            <v>285761.48642255075</v>
          </cell>
        </row>
        <row r="124">
          <cell r="H124">
            <v>640</v>
          </cell>
          <cell r="I124">
            <v>3416899.3484448777</v>
          </cell>
          <cell r="J124">
            <v>3965948.528430318</v>
          </cell>
          <cell r="K124">
            <v>1301585.1917891966</v>
          </cell>
          <cell r="L124">
            <v>1510732.2017993978</v>
          </cell>
        </row>
        <row r="125">
          <cell r="H125">
            <v>710</v>
          </cell>
          <cell r="I125">
            <v>8917620.8377464134</v>
          </cell>
          <cell r="J125">
            <v>7184232.8383103982</v>
          </cell>
          <cell r="K125">
            <v>3396952.0447490434</v>
          </cell>
          <cell r="L125">
            <v>2736659.7968319799</v>
          </cell>
        </row>
        <row r="126">
          <cell r="H126">
            <v>720</v>
          </cell>
          <cell r="I126">
            <v>1948659.0929910787</v>
          </cell>
          <cell r="J126">
            <v>982340.21180230647</v>
          </cell>
          <cell r="K126">
            <v>742294.56610623142</v>
          </cell>
          <cell r="L126">
            <v>374198.75231702975</v>
          </cell>
        </row>
        <row r="127">
          <cell r="H127">
            <v>730</v>
          </cell>
          <cell r="I127">
            <v>114268.03850276608</v>
          </cell>
          <cell r="J127">
            <v>136619.14592286226</v>
          </cell>
          <cell r="K127">
            <v>43527.646454581372</v>
          </cell>
          <cell r="L127">
            <v>52041.76041328704</v>
          </cell>
        </row>
        <row r="128">
          <cell r="H128">
            <v>740</v>
          </cell>
          <cell r="I128">
            <v>81520.957297098619</v>
          </cell>
          <cell r="J128">
            <v>11831.016249226384</v>
          </cell>
          <cell r="K128">
            <v>31053.437639793196</v>
          </cell>
          <cell r="L128">
            <v>4506.7395856477178</v>
          </cell>
        </row>
        <row r="129">
          <cell r="H129">
            <v>750</v>
          </cell>
          <cell r="I129">
            <v>259556.26159455397</v>
          </cell>
          <cell r="J129">
            <v>220481.50949339074</v>
          </cell>
          <cell r="K129">
            <v>98871.682211356907</v>
          </cell>
          <cell r="L129">
            <v>83987.100161594397</v>
          </cell>
        </row>
        <row r="130">
          <cell r="H130">
            <v>760</v>
          </cell>
          <cell r="I130">
            <v>1430774.7640273026</v>
          </cell>
          <cell r="J130">
            <v>1529307.4125556194</v>
          </cell>
          <cell r="K130">
            <v>545019.05257794331</v>
          </cell>
          <cell r="L130">
            <v>582552.68267758214</v>
          </cell>
        </row>
        <row r="131">
          <cell r="H131">
            <v>770</v>
          </cell>
          <cell r="I131">
            <v>1949007.247859013</v>
          </cell>
          <cell r="J131">
            <v>2488741.2595705451</v>
          </cell>
          <cell r="K131">
            <v>742427.18728535937</v>
          </cell>
          <cell r="L131">
            <v>948025.80916704808</v>
          </cell>
        </row>
        <row r="132">
          <cell r="H132">
            <v>780</v>
          </cell>
          <cell r="I132">
            <v>5996765.1539028808</v>
          </cell>
          <cell r="J132">
            <v>2983574.3673181641</v>
          </cell>
          <cell r="K132">
            <v>2284322.693470574</v>
          </cell>
          <cell r="L132">
            <v>1136520.5173136201</v>
          </cell>
        </row>
        <row r="133">
          <cell r="H133">
            <v>810</v>
          </cell>
          <cell r="I133">
            <v>1197013.5341307351</v>
          </cell>
          <cell r="J133">
            <v>466367.42583021405</v>
          </cell>
          <cell r="K133">
            <v>455973.36401053524</v>
          </cell>
          <cell r="L133">
            <v>177651.39487346116</v>
          </cell>
        </row>
        <row r="134">
          <cell r="H134">
            <v>820</v>
          </cell>
          <cell r="I134">
            <v>266208.98003227054</v>
          </cell>
          <cell r="J134">
            <v>215395.06175374184</v>
          </cell>
          <cell r="K134">
            <v>101405.87444842582</v>
          </cell>
          <cell r="L134">
            <v>82049.540877107487</v>
          </cell>
        </row>
        <row r="135">
          <cell r="H135">
            <v>830</v>
          </cell>
          <cell r="I135">
            <v>36022.825408582088</v>
          </cell>
          <cell r="J135">
            <v>42209.994000168488</v>
          </cell>
          <cell r="K135">
            <v>13722.024366786656</v>
          </cell>
          <cell r="L135">
            <v>16078.876646201112</v>
          </cell>
        </row>
        <row r="136">
          <cell r="H136">
            <v>840</v>
          </cell>
          <cell r="I136">
            <v>1903373.5976782881</v>
          </cell>
          <cell r="J136">
            <v>1329084.8454615301</v>
          </cell>
          <cell r="K136">
            <v>725044.15159554523</v>
          </cell>
          <cell r="L136">
            <v>506282.73679512745</v>
          </cell>
        </row>
        <row r="137">
          <cell r="H137">
            <v>860</v>
          </cell>
          <cell r="I137">
            <v>44293.168470995355</v>
          </cell>
          <cell r="J137">
            <v>407796.06823868299</v>
          </cell>
          <cell r="K137">
            <v>16872.411593133507</v>
          </cell>
          <cell r="L137">
            <v>155340.05235796579</v>
          </cell>
        </row>
        <row r="138">
          <cell r="H138">
            <v>870</v>
          </cell>
          <cell r="I138">
            <v>141727.76375552369</v>
          </cell>
          <cell r="J138">
            <v>101430.15440079536</v>
          </cell>
          <cell r="K138">
            <v>53987.764858670722</v>
          </cell>
          <cell r="L138">
            <v>38637.364904837741</v>
          </cell>
        </row>
        <row r="139">
          <cell r="H139">
            <v>900</v>
          </cell>
          <cell r="I139">
            <v>17464868.332911246</v>
          </cell>
          <cell r="J139">
            <v>14325302.006934108</v>
          </cell>
          <cell r="K139">
            <v>6652819.3196592983</v>
          </cell>
          <cell r="L139">
            <v>5456877.4373232871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Machado Berger" refreshedDate="46128.476238773146" createdVersion="8" refreshedVersion="8" minRefreshableVersion="3" recordCount="272" xr:uid="{8E80DE95-7F15-4BB6-9B8D-9C809C314A8C}">
  <cacheSource type="worksheet">
    <worksheetSource ref="A1:C273" sheet="Rend Trab Não Assalariado"/>
  </cacheSource>
  <cacheFields count="3">
    <cacheField name="Ano-Calendário" numFmtId="0">
      <sharedItems containsSemiMixedTypes="0" containsString="0" containsNumber="1" containsInteger="1" minValue="2023" maxValue="2024" count="2">
        <n v="2023"/>
        <n v="2024"/>
      </sharedItems>
    </cacheField>
    <cacheField name="Ocupação" numFmtId="0">
      <sharedItems containsMixedTypes="1" containsNumber="1" containsInteger="1" minValue="0" maxValue="900" count="138">
        <n v="0"/>
        <n v="10"/>
        <n v="20"/>
        <n v="30"/>
        <n v="40"/>
        <n v="5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20"/>
        <n v="121"/>
        <n v="130"/>
        <n v="131"/>
        <n v="140"/>
        <n v="211"/>
        <n v="212"/>
        <n v="213"/>
        <n v="214"/>
        <n v="215"/>
        <n v="221"/>
        <n v="222"/>
        <n v="224"/>
        <n v="225"/>
        <n v="226"/>
        <n v="227"/>
        <n v="228"/>
        <n v="229"/>
        <n v="230"/>
        <n v="231"/>
        <n v="232"/>
        <n v="241"/>
        <n v="250"/>
        <n v="251"/>
        <n v="252"/>
        <n v="253"/>
        <n v="254"/>
        <n v="255"/>
        <n v="256"/>
        <n v="257"/>
        <n v="258"/>
        <n v="259"/>
        <n v="261"/>
        <n v="263"/>
        <n v="264"/>
        <n v="265"/>
        <n v="266"/>
        <n v="271"/>
        <n v="272"/>
        <n v="273"/>
        <n v="274"/>
        <n v="275"/>
        <n v="276"/>
        <n v="277"/>
        <n v="279"/>
        <n v="290"/>
        <n v="291"/>
        <n v="292"/>
        <n v="293"/>
        <n v="294"/>
        <n v="295"/>
        <n v="296"/>
        <n v="311"/>
        <n v="312"/>
        <n v="313"/>
        <n v="314"/>
        <n v="316"/>
        <n v="317"/>
        <n v="318"/>
        <n v="319"/>
        <n v="320"/>
        <n v="321"/>
        <n v="322"/>
        <n v="323"/>
        <n v="324"/>
        <n v="325"/>
        <n v="328"/>
        <n v="341"/>
        <n v="342"/>
        <n v="351"/>
        <n v="352"/>
        <n v="353"/>
        <n v="354"/>
        <n v="355"/>
        <n v="371"/>
        <n v="372"/>
        <n v="373"/>
        <n v="374"/>
        <n v="375"/>
        <n v="376"/>
        <n v="377"/>
        <n v="391"/>
        <n v="410"/>
        <n v="420"/>
        <n v="511"/>
        <n v="512"/>
        <n v="513"/>
        <n v="514"/>
        <n v="515"/>
        <n v="516"/>
        <n v="517"/>
        <n v="518"/>
        <n v="519"/>
        <n v="529"/>
        <n v="610"/>
        <n v="620"/>
        <n v="630"/>
        <n v="640"/>
        <n v="710"/>
        <n v="720"/>
        <n v="730"/>
        <n v="740"/>
        <n v="750"/>
        <n v="760"/>
        <n v="770"/>
        <n v="780"/>
        <n v="810"/>
        <n v="820"/>
        <n v="830"/>
        <n v="840"/>
        <n v="860"/>
        <n v="870"/>
        <n v="900"/>
        <s v="NULL"/>
      </sharedItems>
    </cacheField>
    <cacheField name="Total Rendimentos" numFmtId="4">
      <sharedItems containsSemiMixedTypes="0" containsString="0" containsNumber="1" minValue="195854.12" maxValue="21551212463.75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n v="14055528373.709999"/>
  </r>
  <r>
    <x v="1"/>
    <x v="0"/>
    <n v="15468314230.290001"/>
  </r>
  <r>
    <x v="0"/>
    <x v="1"/>
    <n v="9338433.6300000008"/>
  </r>
  <r>
    <x v="1"/>
    <x v="1"/>
    <n v="9587995.3699999992"/>
  </r>
  <r>
    <x v="0"/>
    <x v="2"/>
    <n v="12758226.98"/>
  </r>
  <r>
    <x v="1"/>
    <x v="2"/>
    <n v="13441166.859999999"/>
  </r>
  <r>
    <x v="0"/>
    <x v="3"/>
    <n v="5904522.8600000003"/>
  </r>
  <r>
    <x v="1"/>
    <x v="3"/>
    <n v="7259005.8899999997"/>
  </r>
  <r>
    <x v="0"/>
    <x v="4"/>
    <n v="22216650.010000002"/>
  </r>
  <r>
    <x v="1"/>
    <x v="4"/>
    <n v="19358248.780000001"/>
  </r>
  <r>
    <x v="0"/>
    <x v="5"/>
    <n v="17087685.93"/>
  </r>
  <r>
    <x v="1"/>
    <x v="5"/>
    <n v="22642784.760000002"/>
  </r>
  <r>
    <x v="0"/>
    <x v="6"/>
    <n v="12952138.800000001"/>
  </r>
  <r>
    <x v="1"/>
    <x v="6"/>
    <n v="13299949.279999999"/>
  </r>
  <r>
    <x v="0"/>
    <x v="7"/>
    <n v="37864261.359999999"/>
  </r>
  <r>
    <x v="1"/>
    <x v="7"/>
    <n v="46618051.689999998"/>
  </r>
  <r>
    <x v="0"/>
    <x v="8"/>
    <n v="7396350.6299999999"/>
  </r>
  <r>
    <x v="1"/>
    <x v="8"/>
    <n v="6593270.4299999997"/>
  </r>
  <r>
    <x v="0"/>
    <x v="9"/>
    <n v="23944200.920000002"/>
  </r>
  <r>
    <x v="1"/>
    <x v="9"/>
    <n v="31194993.100000001"/>
  </r>
  <r>
    <x v="0"/>
    <x v="10"/>
    <n v="17519638.48"/>
  </r>
  <r>
    <x v="1"/>
    <x v="10"/>
    <n v="18129014.579999998"/>
  </r>
  <r>
    <x v="0"/>
    <x v="11"/>
    <n v="1152421.92"/>
  </r>
  <r>
    <x v="1"/>
    <x v="11"/>
    <n v="884371.6"/>
  </r>
  <r>
    <x v="0"/>
    <x v="12"/>
    <n v="5879819.5999999996"/>
  </r>
  <r>
    <x v="1"/>
    <x v="12"/>
    <n v="10551341.539999999"/>
  </r>
  <r>
    <x v="0"/>
    <x v="13"/>
    <n v="4143647.63"/>
  </r>
  <r>
    <x v="1"/>
    <x v="13"/>
    <n v="8565040.6600000001"/>
  </r>
  <r>
    <x v="0"/>
    <x v="14"/>
    <n v="135937346.30000001"/>
  </r>
  <r>
    <x v="1"/>
    <x v="14"/>
    <n v="150888341.96000001"/>
  </r>
  <r>
    <x v="0"/>
    <x v="15"/>
    <n v="22328248.780000001"/>
  </r>
  <r>
    <x v="1"/>
    <x v="15"/>
    <n v="23298295"/>
  </r>
  <r>
    <x v="0"/>
    <x v="16"/>
    <n v="14523504.109999999"/>
  </r>
  <r>
    <x v="1"/>
    <x v="16"/>
    <n v="15901258.289999999"/>
  </r>
  <r>
    <x v="0"/>
    <x v="17"/>
    <n v="1606044.24"/>
  </r>
  <r>
    <x v="1"/>
    <x v="17"/>
    <n v="1114477.18"/>
  </r>
  <r>
    <x v="0"/>
    <x v="18"/>
    <n v="16043912.4"/>
  </r>
  <r>
    <x v="1"/>
    <x v="18"/>
    <n v="22240725.960000001"/>
  </r>
  <r>
    <x v="0"/>
    <x v="19"/>
    <n v="2168334.7799999998"/>
  </r>
  <r>
    <x v="1"/>
    <x v="19"/>
    <n v="3343502.45"/>
  </r>
  <r>
    <x v="0"/>
    <x v="20"/>
    <n v="2072661.93"/>
  </r>
  <r>
    <x v="1"/>
    <x v="20"/>
    <n v="2172993.42"/>
  </r>
  <r>
    <x v="0"/>
    <x v="21"/>
    <n v="40706113.109999999"/>
  </r>
  <r>
    <x v="1"/>
    <x v="21"/>
    <n v="46503561.299999997"/>
  </r>
  <r>
    <x v="0"/>
    <x v="22"/>
    <n v="18661559646.310001"/>
  </r>
  <r>
    <x v="1"/>
    <x v="22"/>
    <n v="21551212463.759998"/>
  </r>
  <r>
    <x v="0"/>
    <x v="23"/>
    <n v="7931146.96"/>
  </r>
  <r>
    <x v="1"/>
    <x v="23"/>
    <n v="9769247.6799999997"/>
  </r>
  <r>
    <x v="0"/>
    <x v="24"/>
    <n v="6115530163.9300003"/>
  </r>
  <r>
    <x v="1"/>
    <x v="24"/>
    <n v="6682701354.6700001"/>
  </r>
  <r>
    <x v="0"/>
    <x v="25"/>
    <n v="20239641.870000001"/>
  </r>
  <r>
    <x v="1"/>
    <x v="25"/>
    <n v="24816822.5"/>
  </r>
  <r>
    <x v="0"/>
    <x v="26"/>
    <n v="572263498.75999999"/>
  </r>
  <r>
    <x v="1"/>
    <x v="26"/>
    <n v="591554560.12"/>
  </r>
  <r>
    <x v="0"/>
    <x v="27"/>
    <n v="13916910.4"/>
  </r>
  <r>
    <x v="1"/>
    <x v="27"/>
    <n v="10141049.35"/>
  </r>
  <r>
    <x v="0"/>
    <x v="28"/>
    <n v="26175866.52"/>
  </r>
  <r>
    <x v="1"/>
    <x v="28"/>
    <n v="24186204.640000001"/>
  </r>
  <r>
    <x v="0"/>
    <x v="29"/>
    <n v="7390522.0499999998"/>
  </r>
  <r>
    <x v="1"/>
    <x v="29"/>
    <n v="6886420.0099999998"/>
  </r>
  <r>
    <x v="0"/>
    <x v="30"/>
    <n v="110382991.68000001"/>
  </r>
  <r>
    <x v="1"/>
    <x v="30"/>
    <n v="108510344.75"/>
  </r>
  <r>
    <x v="0"/>
    <x v="31"/>
    <n v="10471793.24"/>
  </r>
  <r>
    <x v="1"/>
    <x v="31"/>
    <n v="10274371.869999999"/>
  </r>
  <r>
    <x v="0"/>
    <x v="32"/>
    <n v="643576956.48000002"/>
  </r>
  <r>
    <x v="1"/>
    <x v="32"/>
    <n v="663812279.40999997"/>
  </r>
  <r>
    <x v="0"/>
    <x v="33"/>
    <n v="5105783.21"/>
  </r>
  <r>
    <x v="1"/>
    <x v="33"/>
    <n v="5678507.6399999997"/>
  </r>
  <r>
    <x v="0"/>
    <x v="34"/>
    <n v="55642636.109999999"/>
  </r>
  <r>
    <x v="1"/>
    <x v="34"/>
    <n v="67898923.439999998"/>
  </r>
  <r>
    <x v="0"/>
    <x v="35"/>
    <n v="33643635.399999999"/>
  </r>
  <r>
    <x v="1"/>
    <x v="35"/>
    <n v="35797549.710000001"/>
  </r>
  <r>
    <x v="0"/>
    <x v="36"/>
    <n v="200712790.08000001"/>
  </r>
  <r>
    <x v="1"/>
    <x v="36"/>
    <n v="225380214.44999999"/>
  </r>
  <r>
    <x v="0"/>
    <x v="37"/>
    <n v="3725110398.4200001"/>
  </r>
  <r>
    <x v="1"/>
    <x v="37"/>
    <n v="3801009501.96"/>
  </r>
  <r>
    <x v="0"/>
    <x v="38"/>
    <n v="9874060342.6800003"/>
  </r>
  <r>
    <x v="1"/>
    <x v="38"/>
    <n v="10291488835.26"/>
  </r>
  <r>
    <x v="0"/>
    <x v="39"/>
    <n v="258780020.31"/>
  </r>
  <r>
    <x v="1"/>
    <x v="39"/>
    <n v="297984511.54000002"/>
  </r>
  <r>
    <x v="0"/>
    <x v="40"/>
    <n v="222993504.84"/>
  </r>
  <r>
    <x v="1"/>
    <x v="40"/>
    <n v="223741648.63"/>
  </r>
  <r>
    <x v="0"/>
    <x v="41"/>
    <n v="1988559826.47"/>
  </r>
  <r>
    <x v="1"/>
    <x v="42"/>
    <n v="335954469.06999999"/>
  </r>
  <r>
    <x v="1"/>
    <x v="43"/>
    <n v="1369098913.96"/>
  </r>
  <r>
    <x v="1"/>
    <x v="44"/>
    <n v="105550389"/>
  </r>
  <r>
    <x v="0"/>
    <x v="45"/>
    <n v="1943594594.02"/>
  </r>
  <r>
    <x v="1"/>
    <x v="45"/>
    <n v="2201730867.4299998"/>
  </r>
  <r>
    <x v="0"/>
    <x v="46"/>
    <n v="2068651.15"/>
  </r>
  <r>
    <x v="1"/>
    <x v="46"/>
    <n v="1394623.29"/>
  </r>
  <r>
    <x v="0"/>
    <x v="47"/>
    <n v="696438.81"/>
  </r>
  <r>
    <x v="1"/>
    <x v="47"/>
    <n v="576984.87"/>
  </r>
  <r>
    <x v="0"/>
    <x v="48"/>
    <n v="457182165.07999998"/>
  </r>
  <r>
    <x v="1"/>
    <x v="48"/>
    <n v="474876000.36000001"/>
  </r>
  <r>
    <x v="0"/>
    <x v="49"/>
    <n v="62139216.950000003"/>
  </r>
  <r>
    <x v="1"/>
    <x v="49"/>
    <n v="75003518.909999996"/>
  </r>
  <r>
    <x v="0"/>
    <x v="50"/>
    <n v="68904433.799999997"/>
  </r>
  <r>
    <x v="1"/>
    <x v="50"/>
    <n v="75400950.709999993"/>
  </r>
  <r>
    <x v="0"/>
    <x v="51"/>
    <n v="2551790055.8699999"/>
  </r>
  <r>
    <x v="1"/>
    <x v="51"/>
    <n v="2996133510.98"/>
  </r>
  <r>
    <x v="0"/>
    <x v="52"/>
    <n v="844681.17"/>
  </r>
  <r>
    <x v="1"/>
    <x v="52"/>
    <n v="1057799.1000000001"/>
  </r>
  <r>
    <x v="0"/>
    <x v="53"/>
    <n v="786425.88"/>
  </r>
  <r>
    <x v="1"/>
    <x v="53"/>
    <n v="667704.81999999995"/>
  </r>
  <r>
    <x v="0"/>
    <x v="54"/>
    <n v="7745979.0700000003"/>
  </r>
  <r>
    <x v="1"/>
    <x v="54"/>
    <n v="9405280.8300000001"/>
  </r>
  <r>
    <x v="0"/>
    <x v="55"/>
    <n v="677635.42"/>
  </r>
  <r>
    <x v="1"/>
    <x v="55"/>
    <n v="771109.12"/>
  </r>
  <r>
    <x v="0"/>
    <x v="56"/>
    <n v="22257654.23"/>
  </r>
  <r>
    <x v="1"/>
    <x v="56"/>
    <n v="24097620.050000001"/>
  </r>
  <r>
    <x v="0"/>
    <x v="57"/>
    <n v="89765448.849999994"/>
  </r>
  <r>
    <x v="1"/>
    <x v="57"/>
    <n v="92134876.269999996"/>
  </r>
  <r>
    <x v="0"/>
    <x v="58"/>
    <n v="17385533.34"/>
  </r>
  <r>
    <x v="1"/>
    <x v="58"/>
    <n v="20334640.379999999"/>
  </r>
  <r>
    <x v="0"/>
    <x v="59"/>
    <n v="1477490.09"/>
  </r>
  <r>
    <x v="1"/>
    <x v="59"/>
    <n v="1935511.02"/>
  </r>
  <r>
    <x v="0"/>
    <x v="60"/>
    <n v="4623374.0999999996"/>
  </r>
  <r>
    <x v="1"/>
    <x v="60"/>
    <n v="5073376.71"/>
  </r>
  <r>
    <x v="0"/>
    <x v="61"/>
    <n v="2217556.64"/>
  </r>
  <r>
    <x v="1"/>
    <x v="61"/>
    <n v="1971477.29"/>
  </r>
  <r>
    <x v="0"/>
    <x v="62"/>
    <n v="6234406.8700000001"/>
  </r>
  <r>
    <x v="1"/>
    <x v="62"/>
    <n v="5634358.5599999996"/>
  </r>
  <r>
    <x v="0"/>
    <x v="63"/>
    <n v="14991848.220000001"/>
  </r>
  <r>
    <x v="1"/>
    <x v="63"/>
    <n v="13754625.52"/>
  </r>
  <r>
    <x v="0"/>
    <x v="64"/>
    <n v="30694305.52"/>
  </r>
  <r>
    <x v="1"/>
    <x v="64"/>
    <n v="32467815.789999999"/>
  </r>
  <r>
    <x v="0"/>
    <x v="65"/>
    <n v="39436935.950000003"/>
  </r>
  <r>
    <x v="1"/>
    <x v="65"/>
    <n v="44852642.030000001"/>
  </r>
  <r>
    <x v="0"/>
    <x v="66"/>
    <n v="7599089.5999999996"/>
  </r>
  <r>
    <x v="1"/>
    <x v="66"/>
    <n v="6887154.1699999999"/>
  </r>
  <r>
    <x v="0"/>
    <x v="67"/>
    <n v="17159200.41"/>
  </r>
  <r>
    <x v="1"/>
    <x v="67"/>
    <n v="17683467.399999999"/>
  </r>
  <r>
    <x v="0"/>
    <x v="68"/>
    <n v="24282928.59"/>
  </r>
  <r>
    <x v="1"/>
    <x v="68"/>
    <n v="23344067.010000002"/>
  </r>
  <r>
    <x v="0"/>
    <x v="69"/>
    <n v="39862660.390000001"/>
  </r>
  <r>
    <x v="1"/>
    <x v="69"/>
    <n v="42935523.460000001"/>
  </r>
  <r>
    <x v="0"/>
    <x v="70"/>
    <n v="59477446.219999999"/>
  </r>
  <r>
    <x v="1"/>
    <x v="70"/>
    <n v="63070843.359999999"/>
  </r>
  <r>
    <x v="0"/>
    <x v="71"/>
    <n v="43797264.189999998"/>
  </r>
  <r>
    <x v="1"/>
    <x v="71"/>
    <n v="43625567.030000001"/>
  </r>
  <r>
    <x v="0"/>
    <x v="72"/>
    <n v="17297598.219999999"/>
  </r>
  <r>
    <x v="1"/>
    <x v="72"/>
    <n v="17904564.399999999"/>
  </r>
  <r>
    <x v="0"/>
    <x v="73"/>
    <n v="127216286.97"/>
  </r>
  <r>
    <x v="1"/>
    <x v="73"/>
    <n v="131781992.93000001"/>
  </r>
  <r>
    <x v="0"/>
    <x v="74"/>
    <n v="126650239.38"/>
  </r>
  <r>
    <x v="1"/>
    <x v="74"/>
    <n v="133359031.66"/>
  </r>
  <r>
    <x v="0"/>
    <x v="75"/>
    <n v="49090403.710000001"/>
  </r>
  <r>
    <x v="1"/>
    <x v="75"/>
    <n v="53451643.219999999"/>
  </r>
  <r>
    <x v="0"/>
    <x v="76"/>
    <n v="2311622.9900000002"/>
  </r>
  <r>
    <x v="1"/>
    <x v="76"/>
    <n v="2938999.77"/>
  </r>
  <r>
    <x v="0"/>
    <x v="77"/>
    <n v="34183643.729999997"/>
  </r>
  <r>
    <x v="1"/>
    <x v="77"/>
    <n v="37061481.109999999"/>
  </r>
  <r>
    <x v="0"/>
    <x v="78"/>
    <n v="17712122.350000001"/>
  </r>
  <r>
    <x v="1"/>
    <x v="78"/>
    <n v="19243579.559999999"/>
  </r>
  <r>
    <x v="0"/>
    <x v="79"/>
    <n v="4923434.3899999997"/>
  </r>
  <r>
    <x v="1"/>
    <x v="79"/>
    <n v="6776608.4400000004"/>
  </r>
  <r>
    <x v="0"/>
    <x v="80"/>
    <n v="1236817.01"/>
  </r>
  <r>
    <x v="1"/>
    <x v="80"/>
    <n v="949554.1"/>
  </r>
  <r>
    <x v="0"/>
    <x v="81"/>
    <n v="36089469.68"/>
  </r>
  <r>
    <x v="1"/>
    <x v="81"/>
    <n v="39208288.009999998"/>
  </r>
  <r>
    <x v="0"/>
    <x v="82"/>
    <n v="5716513.71"/>
  </r>
  <r>
    <x v="1"/>
    <x v="82"/>
    <n v="5860498.0099999998"/>
  </r>
  <r>
    <x v="0"/>
    <x v="83"/>
    <n v="23637950.5"/>
  </r>
  <r>
    <x v="1"/>
    <x v="83"/>
    <n v="26426348.899999999"/>
  </r>
  <r>
    <x v="0"/>
    <x v="84"/>
    <n v="608342.32999999996"/>
  </r>
  <r>
    <x v="1"/>
    <x v="84"/>
    <n v="254220.25"/>
  </r>
  <r>
    <x v="0"/>
    <x v="85"/>
    <n v="6104697.5899999999"/>
  </r>
  <r>
    <x v="1"/>
    <x v="85"/>
    <n v="5390125.2599999998"/>
  </r>
  <r>
    <x v="0"/>
    <x v="86"/>
    <n v="70226508.599999994"/>
  </r>
  <r>
    <x v="1"/>
    <x v="86"/>
    <n v="72496829.700000003"/>
  </r>
  <r>
    <x v="0"/>
    <x v="87"/>
    <n v="2167542.63"/>
  </r>
  <r>
    <x v="1"/>
    <x v="87"/>
    <n v="2338171.0699999998"/>
  </r>
  <r>
    <x v="0"/>
    <x v="88"/>
    <n v="21910886.800000001"/>
  </r>
  <r>
    <x v="1"/>
    <x v="88"/>
    <n v="21820272.120000001"/>
  </r>
  <r>
    <x v="0"/>
    <x v="89"/>
    <n v="1113282.58"/>
  </r>
  <r>
    <x v="1"/>
    <x v="89"/>
    <n v="1062183.55"/>
  </r>
  <r>
    <x v="0"/>
    <x v="90"/>
    <n v="195854.12"/>
  </r>
  <r>
    <x v="1"/>
    <x v="90"/>
    <n v="272181.3"/>
  </r>
  <r>
    <x v="0"/>
    <x v="91"/>
    <n v="1829513.22"/>
  </r>
  <r>
    <x v="1"/>
    <x v="91"/>
    <n v="1623489.18"/>
  </r>
  <r>
    <x v="0"/>
    <x v="92"/>
    <n v="18381455.440000001"/>
  </r>
  <r>
    <x v="1"/>
    <x v="92"/>
    <n v="22422912.300000001"/>
  </r>
  <r>
    <x v="0"/>
    <x v="93"/>
    <n v="103984578.45999999"/>
  </r>
  <r>
    <x v="1"/>
    <x v="93"/>
    <n v="105690152.91"/>
  </r>
  <r>
    <x v="0"/>
    <x v="94"/>
    <n v="6132119.9299999997"/>
  </r>
  <r>
    <x v="1"/>
    <x v="94"/>
    <n v="7190754.4699999997"/>
  </r>
  <r>
    <x v="0"/>
    <x v="95"/>
    <n v="7844442.6399999997"/>
  </r>
  <r>
    <x v="1"/>
    <x v="95"/>
    <n v="7720121.6699999999"/>
  </r>
  <r>
    <x v="0"/>
    <x v="96"/>
    <n v="909370232.72000003"/>
  </r>
  <r>
    <x v="1"/>
    <x v="96"/>
    <n v="1041777038.9"/>
  </r>
  <r>
    <x v="0"/>
    <x v="97"/>
    <n v="58401543.369999997"/>
  </r>
  <r>
    <x v="1"/>
    <x v="97"/>
    <n v="71495073.390000001"/>
  </r>
  <r>
    <x v="0"/>
    <x v="98"/>
    <n v="3356340.79"/>
  </r>
  <r>
    <x v="1"/>
    <x v="98"/>
    <n v="2727179.96"/>
  </r>
  <r>
    <x v="0"/>
    <x v="99"/>
    <n v="22245254.600000001"/>
  </r>
  <r>
    <x v="1"/>
    <x v="99"/>
    <n v="26183682.27"/>
  </r>
  <r>
    <x v="0"/>
    <x v="100"/>
    <n v="1217773.23"/>
  </r>
  <r>
    <x v="1"/>
    <x v="100"/>
    <n v="1626223.29"/>
  </r>
  <r>
    <x v="0"/>
    <x v="101"/>
    <n v="5969222.5599999996"/>
  </r>
  <r>
    <x v="1"/>
    <x v="101"/>
    <n v="5251122.91"/>
  </r>
  <r>
    <x v="0"/>
    <x v="102"/>
    <n v="5928161.79"/>
  </r>
  <r>
    <x v="1"/>
    <x v="102"/>
    <n v="5086518.17"/>
  </r>
  <r>
    <x v="0"/>
    <x v="103"/>
    <n v="11167747.960000001"/>
  </r>
  <r>
    <x v="1"/>
    <x v="103"/>
    <n v="7400829.9900000002"/>
  </r>
  <r>
    <x v="0"/>
    <x v="104"/>
    <n v="14784569.49"/>
  </r>
  <r>
    <x v="1"/>
    <x v="104"/>
    <n v="17385570.739999998"/>
  </r>
  <r>
    <x v="0"/>
    <x v="105"/>
    <n v="248689481.38"/>
  </r>
  <r>
    <x v="1"/>
    <x v="105"/>
    <n v="261255758.5"/>
  </r>
  <r>
    <x v="0"/>
    <x v="106"/>
    <n v="400086512.82999998"/>
  </r>
  <r>
    <x v="1"/>
    <x v="106"/>
    <n v="447611800.25"/>
  </r>
  <r>
    <x v="0"/>
    <x v="107"/>
    <n v="168914202.13999999"/>
  </r>
  <r>
    <x v="1"/>
    <x v="107"/>
    <n v="174448224.81"/>
  </r>
  <r>
    <x v="0"/>
    <x v="108"/>
    <n v="24466725.460000001"/>
  </r>
  <r>
    <x v="1"/>
    <x v="108"/>
    <n v="26505539.280000001"/>
  </r>
  <r>
    <x v="0"/>
    <x v="109"/>
    <n v="91475285.140000001"/>
  </r>
  <r>
    <x v="1"/>
    <x v="109"/>
    <n v="99078772.049999997"/>
  </r>
  <r>
    <x v="0"/>
    <x v="110"/>
    <n v="80229772.739999995"/>
  </r>
  <r>
    <x v="1"/>
    <x v="110"/>
    <n v="84833594.700000003"/>
  </r>
  <r>
    <x v="0"/>
    <x v="111"/>
    <n v="45213566.049999997"/>
  </r>
  <r>
    <x v="1"/>
    <x v="111"/>
    <n v="52561921.780000001"/>
  </r>
  <r>
    <x v="0"/>
    <x v="112"/>
    <n v="152086239.31999999"/>
  </r>
  <r>
    <x v="1"/>
    <x v="112"/>
    <n v="163082494.49000001"/>
  </r>
  <r>
    <x v="0"/>
    <x v="113"/>
    <n v="450570342.69999999"/>
  </r>
  <r>
    <x v="1"/>
    <x v="113"/>
    <n v="452034352.20999998"/>
  </r>
  <r>
    <x v="0"/>
    <x v="114"/>
    <n v="26538071.620000001"/>
  </r>
  <r>
    <x v="1"/>
    <x v="114"/>
    <n v="30350282.09"/>
  </r>
  <r>
    <x v="0"/>
    <x v="115"/>
    <n v="983208093.91999996"/>
  </r>
  <r>
    <x v="1"/>
    <x v="115"/>
    <n v="1004823273.1900001"/>
  </r>
  <r>
    <x v="0"/>
    <x v="116"/>
    <n v="1423175556.3900001"/>
  </r>
  <r>
    <x v="1"/>
    <x v="116"/>
    <n v="1578442346.1600001"/>
  </r>
  <r>
    <x v="0"/>
    <x v="117"/>
    <n v="2535769563.9000001"/>
  </r>
  <r>
    <x v="1"/>
    <x v="117"/>
    <n v="2532141584.4499998"/>
  </r>
  <r>
    <x v="0"/>
    <x v="118"/>
    <n v="363135412.80000001"/>
  </r>
  <r>
    <x v="1"/>
    <x v="118"/>
    <n v="400813092.47000003"/>
  </r>
  <r>
    <x v="0"/>
    <x v="119"/>
    <n v="94463915.189999998"/>
  </r>
  <r>
    <x v="1"/>
    <x v="119"/>
    <n v="138457787.09"/>
  </r>
  <r>
    <x v="0"/>
    <x v="120"/>
    <n v="12565746.27"/>
  </r>
  <r>
    <x v="1"/>
    <x v="120"/>
    <n v="14335453.880000001"/>
  </r>
  <r>
    <x v="0"/>
    <x v="121"/>
    <n v="21458972"/>
  </r>
  <r>
    <x v="1"/>
    <x v="121"/>
    <n v="24282234.780000001"/>
  </r>
  <r>
    <x v="0"/>
    <x v="122"/>
    <n v="105948055.89"/>
  </r>
  <r>
    <x v="1"/>
    <x v="122"/>
    <n v="101074722.06"/>
  </r>
  <r>
    <x v="0"/>
    <x v="123"/>
    <n v="21918287.260000002"/>
  </r>
  <r>
    <x v="1"/>
    <x v="123"/>
    <n v="24149985.420000002"/>
  </r>
  <r>
    <x v="0"/>
    <x v="124"/>
    <n v="6713360.8200000003"/>
  </r>
  <r>
    <x v="1"/>
    <x v="124"/>
    <n v="7938657.2599999998"/>
  </r>
  <r>
    <x v="0"/>
    <x v="125"/>
    <n v="1044279.88"/>
  </r>
  <r>
    <x v="1"/>
    <x v="125"/>
    <n v="595409.99"/>
  </r>
  <r>
    <x v="0"/>
    <x v="126"/>
    <n v="6560439.0899999999"/>
  </r>
  <r>
    <x v="1"/>
    <x v="126"/>
    <n v="6338728.9800000004"/>
  </r>
  <r>
    <x v="0"/>
    <x v="127"/>
    <n v="55085948.719999999"/>
  </r>
  <r>
    <x v="1"/>
    <x v="127"/>
    <n v="70394343.069999993"/>
  </r>
  <r>
    <x v="0"/>
    <x v="128"/>
    <n v="25862164.449999999"/>
  </r>
  <r>
    <x v="1"/>
    <x v="128"/>
    <n v="25988716.84"/>
  </r>
  <r>
    <x v="0"/>
    <x v="129"/>
    <n v="25786898.550000001"/>
  </r>
  <r>
    <x v="1"/>
    <x v="129"/>
    <n v="22407731.18"/>
  </r>
  <r>
    <x v="0"/>
    <x v="130"/>
    <n v="11251710.060000001"/>
  </r>
  <r>
    <x v="1"/>
    <x v="130"/>
    <n v="12092149.76"/>
  </r>
  <r>
    <x v="0"/>
    <x v="131"/>
    <n v="6019763.1900000004"/>
  </r>
  <r>
    <x v="1"/>
    <x v="131"/>
    <n v="6670343.6600000001"/>
  </r>
  <r>
    <x v="0"/>
    <x v="132"/>
    <n v="1659114.89"/>
  </r>
  <r>
    <x v="1"/>
    <x v="132"/>
    <n v="2181170.14"/>
  </r>
  <r>
    <x v="0"/>
    <x v="133"/>
    <n v="19730130.870000001"/>
  </r>
  <r>
    <x v="1"/>
    <x v="133"/>
    <n v="22312773.25"/>
  </r>
  <r>
    <x v="0"/>
    <x v="134"/>
    <n v="4019159.11"/>
  </r>
  <r>
    <x v="1"/>
    <x v="134"/>
    <n v="5303620.41"/>
  </r>
  <r>
    <x v="0"/>
    <x v="135"/>
    <n v="4640733.12"/>
  </r>
  <r>
    <x v="1"/>
    <x v="135"/>
    <n v="5771105.9400000004"/>
  </r>
  <r>
    <x v="0"/>
    <x v="136"/>
    <n v="336603038.24000001"/>
  </r>
  <r>
    <x v="1"/>
    <x v="136"/>
    <n v="329064247.75999999"/>
  </r>
  <r>
    <x v="0"/>
    <x v="137"/>
    <n v="3389853511.4899998"/>
  </r>
  <r>
    <x v="1"/>
    <x v="137"/>
    <n v="3671736591.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4B1A5-F243-4343-9FC9-CCF13652E5D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H141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dataField="1" numFmtId="4" showAll="0"/>
  </pivotFields>
  <rowFields count="1">
    <field x="1"/>
  </rowFields>
  <rowItems count="1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oma de Total Rendimentos" fld="2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02C-6AE6-47DC-AB3D-FB085CB1EB41}">
  <dimension ref="B2:C6"/>
  <sheetViews>
    <sheetView workbookViewId="0">
      <selection activeCell="B6" sqref="B6:C6"/>
    </sheetView>
  </sheetViews>
  <sheetFormatPr baseColWidth="10" defaultColWidth="8.6640625" defaultRowHeight="14" x14ac:dyDescent="0.2"/>
  <cols>
    <col min="1" max="1" width="8.6640625" style="13"/>
    <col min="2" max="2" width="23.5" style="12" bestFit="1" customWidth="1"/>
    <col min="3" max="3" width="87.83203125" style="12" customWidth="1"/>
    <col min="4" max="16384" width="8.6640625" style="13"/>
  </cols>
  <sheetData>
    <row r="2" spans="2:3" ht="15" x14ac:dyDescent="0.2">
      <c r="B2" s="24" t="s">
        <v>17</v>
      </c>
      <c r="C2" s="24" t="s">
        <v>19</v>
      </c>
    </row>
    <row r="3" spans="2:3" ht="210" x14ac:dyDescent="0.2">
      <c r="B3" s="15" t="s">
        <v>18</v>
      </c>
      <c r="C3" s="25" t="s">
        <v>175</v>
      </c>
    </row>
    <row r="4" spans="2:3" ht="45" x14ac:dyDescent="0.2">
      <c r="B4" s="15" t="s">
        <v>20</v>
      </c>
      <c r="C4" s="15" t="s">
        <v>176</v>
      </c>
    </row>
    <row r="5" spans="2:3" ht="30" x14ac:dyDescent="0.2">
      <c r="B5" s="15" t="s">
        <v>21</v>
      </c>
      <c r="C5" s="15" t="s">
        <v>178</v>
      </c>
    </row>
    <row r="6" spans="2:3" ht="149.5" customHeight="1" x14ac:dyDescent="0.2">
      <c r="B6" s="46" t="s">
        <v>177</v>
      </c>
      <c r="C6" s="46"/>
    </row>
  </sheetData>
  <mergeCells count="1">
    <mergeCell ref="B6:C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"/>
  <sheetViews>
    <sheetView tabSelected="1" workbookViewId="0">
      <selection activeCell="F140" sqref="F140"/>
    </sheetView>
  </sheetViews>
  <sheetFormatPr baseColWidth="10" defaultColWidth="8.83203125" defaultRowHeight="15" x14ac:dyDescent="0.2"/>
  <cols>
    <col min="1" max="1" width="13.83203125" bestFit="1" customWidth="1"/>
    <col min="2" max="2" width="9.1640625" bestFit="1" customWidth="1"/>
    <col min="3" max="3" width="16.6640625" style="1" bestFit="1" customWidth="1"/>
    <col min="5" max="5" width="24.5" bestFit="1" customWidth="1"/>
    <col min="6" max="6" width="18.33203125" bestFit="1" customWidth="1"/>
    <col min="7" max="7" width="16.1640625" bestFit="1" customWidth="1"/>
    <col min="8" max="8" width="17.1640625" bestFit="1" customWidth="1"/>
    <col min="9" max="9" width="9.6640625" bestFit="1" customWidth="1"/>
  </cols>
  <sheetData>
    <row r="1" spans="1:8" x14ac:dyDescent="0.2">
      <c r="A1" s="16" t="s">
        <v>1</v>
      </c>
      <c r="B1" s="16" t="s">
        <v>2</v>
      </c>
      <c r="C1" s="17" t="s">
        <v>3</v>
      </c>
      <c r="E1" s="2" t="s">
        <v>7</v>
      </c>
      <c r="F1" s="2" t="s">
        <v>4</v>
      </c>
    </row>
    <row r="2" spans="1:8" x14ac:dyDescent="0.2">
      <c r="A2">
        <v>2023</v>
      </c>
      <c r="B2">
        <v>0</v>
      </c>
      <c r="C2" s="1">
        <v>14055528373.709999</v>
      </c>
      <c r="E2" s="2" t="s">
        <v>6</v>
      </c>
      <c r="F2">
        <v>2023</v>
      </c>
      <c r="G2">
        <v>2024</v>
      </c>
      <c r="H2" t="s">
        <v>5</v>
      </c>
    </row>
    <row r="3" spans="1:8" x14ac:dyDescent="0.2">
      <c r="A3">
        <v>2024</v>
      </c>
      <c r="B3">
        <v>0</v>
      </c>
      <c r="C3" s="1">
        <v>15468314230.290001</v>
      </c>
      <c r="E3" s="4">
        <v>0</v>
      </c>
      <c r="F3" s="1">
        <v>14055528373.709999</v>
      </c>
      <c r="G3" s="1">
        <v>15468314230.290001</v>
      </c>
      <c r="H3" s="1">
        <v>29523842604</v>
      </c>
    </row>
    <row r="4" spans="1:8" x14ac:dyDescent="0.2">
      <c r="A4">
        <v>2023</v>
      </c>
      <c r="B4">
        <v>10</v>
      </c>
      <c r="C4" s="1">
        <v>9338433.6300000008</v>
      </c>
      <c r="E4" s="4">
        <v>10</v>
      </c>
      <c r="F4" s="1">
        <v>9338433.6300000008</v>
      </c>
      <c r="G4" s="1">
        <v>9587995.3699999992</v>
      </c>
      <c r="H4" s="1">
        <v>18926429</v>
      </c>
    </row>
    <row r="5" spans="1:8" x14ac:dyDescent="0.2">
      <c r="A5">
        <v>2024</v>
      </c>
      <c r="B5">
        <v>10</v>
      </c>
      <c r="C5" s="1">
        <v>9587995.3699999992</v>
      </c>
      <c r="E5" s="4">
        <v>20</v>
      </c>
      <c r="F5" s="1">
        <v>12758226.98</v>
      </c>
      <c r="G5" s="1">
        <v>13441166.859999999</v>
      </c>
      <c r="H5" s="1">
        <v>26199393.84</v>
      </c>
    </row>
    <row r="6" spans="1:8" x14ac:dyDescent="0.2">
      <c r="A6">
        <v>2023</v>
      </c>
      <c r="B6">
        <v>20</v>
      </c>
      <c r="C6" s="1">
        <v>12758226.98</v>
      </c>
      <c r="E6" s="4">
        <v>30</v>
      </c>
      <c r="F6" s="1">
        <v>5904522.8600000003</v>
      </c>
      <c r="G6" s="1">
        <v>7259005.8899999997</v>
      </c>
      <c r="H6" s="1">
        <v>13163528.75</v>
      </c>
    </row>
    <row r="7" spans="1:8" x14ac:dyDescent="0.2">
      <c r="A7">
        <v>2024</v>
      </c>
      <c r="B7">
        <v>20</v>
      </c>
      <c r="C7" s="1">
        <v>13441166.859999999</v>
      </c>
      <c r="E7" s="4">
        <v>40</v>
      </c>
      <c r="F7" s="1">
        <v>22216650.010000002</v>
      </c>
      <c r="G7" s="1">
        <v>19358248.780000001</v>
      </c>
      <c r="H7" s="1">
        <v>41574898.790000007</v>
      </c>
    </row>
    <row r="8" spans="1:8" x14ac:dyDescent="0.2">
      <c r="A8">
        <v>2023</v>
      </c>
      <c r="B8">
        <v>30</v>
      </c>
      <c r="C8" s="1">
        <v>5904522.8600000003</v>
      </c>
      <c r="E8" s="4">
        <v>50</v>
      </c>
      <c r="F8" s="1">
        <v>17087685.93</v>
      </c>
      <c r="G8" s="1">
        <v>22642784.760000002</v>
      </c>
      <c r="H8" s="1">
        <v>39730470.689999998</v>
      </c>
    </row>
    <row r="9" spans="1:8" x14ac:dyDescent="0.2">
      <c r="A9">
        <v>2024</v>
      </c>
      <c r="B9">
        <v>30</v>
      </c>
      <c r="C9" s="1">
        <v>7259005.8899999997</v>
      </c>
      <c r="E9" s="4">
        <v>101</v>
      </c>
      <c r="F9" s="1">
        <v>12952138.800000001</v>
      </c>
      <c r="G9" s="1">
        <v>13299949.279999999</v>
      </c>
      <c r="H9" s="1">
        <v>26252088.079999998</v>
      </c>
    </row>
    <row r="10" spans="1:8" x14ac:dyDescent="0.2">
      <c r="A10">
        <v>2023</v>
      </c>
      <c r="B10">
        <v>40</v>
      </c>
      <c r="C10" s="1">
        <v>22216650.010000002</v>
      </c>
      <c r="E10" s="4">
        <v>102</v>
      </c>
      <c r="F10" s="1">
        <v>37864261.359999999</v>
      </c>
      <c r="G10" s="1">
        <v>46618051.689999998</v>
      </c>
      <c r="H10" s="1">
        <v>84482313.049999997</v>
      </c>
    </row>
    <row r="11" spans="1:8" x14ac:dyDescent="0.2">
      <c r="A11">
        <v>2024</v>
      </c>
      <c r="B11">
        <v>40</v>
      </c>
      <c r="C11" s="1">
        <v>19358248.780000001</v>
      </c>
      <c r="E11" s="4">
        <v>103</v>
      </c>
      <c r="F11" s="1">
        <v>7396350.6299999999</v>
      </c>
      <c r="G11" s="1">
        <v>6593270.4299999997</v>
      </c>
      <c r="H11" s="1">
        <v>13989621.059999999</v>
      </c>
    </row>
    <row r="12" spans="1:8" x14ac:dyDescent="0.2">
      <c r="A12">
        <v>2023</v>
      </c>
      <c r="B12">
        <v>50</v>
      </c>
      <c r="C12" s="1">
        <v>17087685.93</v>
      </c>
      <c r="E12" s="4">
        <v>104</v>
      </c>
      <c r="F12" s="1">
        <v>23944200.920000002</v>
      </c>
      <c r="G12" s="1">
        <v>31194993.100000001</v>
      </c>
      <c r="H12" s="1">
        <v>55139194.020000003</v>
      </c>
    </row>
    <row r="13" spans="1:8" x14ac:dyDescent="0.2">
      <c r="A13">
        <v>2024</v>
      </c>
      <c r="B13">
        <v>50</v>
      </c>
      <c r="C13" s="1">
        <v>22642784.760000002</v>
      </c>
      <c r="E13" s="4">
        <v>105</v>
      </c>
      <c r="F13" s="1">
        <v>17519638.48</v>
      </c>
      <c r="G13" s="1">
        <v>18129014.579999998</v>
      </c>
      <c r="H13" s="1">
        <v>35648653.060000002</v>
      </c>
    </row>
    <row r="14" spans="1:8" x14ac:dyDescent="0.2">
      <c r="A14">
        <v>2023</v>
      </c>
      <c r="B14">
        <v>101</v>
      </c>
      <c r="C14" s="1">
        <v>12952138.800000001</v>
      </c>
      <c r="E14" s="4">
        <v>106</v>
      </c>
      <c r="F14" s="1">
        <v>1152421.92</v>
      </c>
      <c r="G14" s="1">
        <v>884371.6</v>
      </c>
      <c r="H14" s="1">
        <v>2036793.52</v>
      </c>
    </row>
    <row r="15" spans="1:8" x14ac:dyDescent="0.2">
      <c r="A15">
        <v>2024</v>
      </c>
      <c r="B15">
        <v>101</v>
      </c>
      <c r="C15" s="1">
        <v>13299949.279999999</v>
      </c>
      <c r="E15" s="4">
        <v>107</v>
      </c>
      <c r="F15" s="1">
        <v>5879819.5999999996</v>
      </c>
      <c r="G15" s="1">
        <v>10551341.539999999</v>
      </c>
      <c r="H15" s="1">
        <v>16431161.139999999</v>
      </c>
    </row>
    <row r="16" spans="1:8" x14ac:dyDescent="0.2">
      <c r="A16">
        <v>2023</v>
      </c>
      <c r="B16">
        <v>102</v>
      </c>
      <c r="C16" s="1">
        <v>37864261.359999999</v>
      </c>
      <c r="E16" s="4">
        <v>108</v>
      </c>
      <c r="F16" s="1">
        <v>4143647.63</v>
      </c>
      <c r="G16" s="1">
        <v>8565040.6600000001</v>
      </c>
      <c r="H16" s="1">
        <v>12708688.289999999</v>
      </c>
    </row>
    <row r="17" spans="1:8" x14ac:dyDescent="0.2">
      <c r="A17">
        <v>2024</v>
      </c>
      <c r="B17">
        <v>102</v>
      </c>
      <c r="C17" s="1">
        <v>46618051.689999998</v>
      </c>
      <c r="E17" s="4">
        <v>109</v>
      </c>
      <c r="F17" s="1">
        <v>135937346.30000001</v>
      </c>
      <c r="G17" s="1">
        <v>150888341.96000001</v>
      </c>
      <c r="H17" s="1">
        <v>286825688.25999999</v>
      </c>
    </row>
    <row r="18" spans="1:8" x14ac:dyDescent="0.2">
      <c r="A18">
        <v>2023</v>
      </c>
      <c r="B18">
        <v>103</v>
      </c>
      <c r="C18" s="1">
        <v>7396350.6299999999</v>
      </c>
      <c r="E18" s="4">
        <v>110</v>
      </c>
      <c r="F18" s="1">
        <v>22328248.780000001</v>
      </c>
      <c r="G18" s="1">
        <v>23298295</v>
      </c>
      <c r="H18" s="1">
        <v>45626543.780000001</v>
      </c>
    </row>
    <row r="19" spans="1:8" x14ac:dyDescent="0.2">
      <c r="A19">
        <v>2024</v>
      </c>
      <c r="B19">
        <v>103</v>
      </c>
      <c r="C19" s="1">
        <v>6593270.4299999997</v>
      </c>
      <c r="E19" s="4">
        <v>111</v>
      </c>
      <c r="F19" s="1">
        <v>14523504.109999999</v>
      </c>
      <c r="G19" s="1">
        <v>15901258.289999999</v>
      </c>
      <c r="H19" s="1">
        <v>30424762.399999999</v>
      </c>
    </row>
    <row r="20" spans="1:8" x14ac:dyDescent="0.2">
      <c r="A20">
        <v>2023</v>
      </c>
      <c r="B20">
        <v>104</v>
      </c>
      <c r="C20" s="1">
        <v>23944200.920000002</v>
      </c>
      <c r="E20" s="4">
        <v>112</v>
      </c>
      <c r="F20" s="1">
        <v>1606044.24</v>
      </c>
      <c r="G20" s="1">
        <v>1114477.18</v>
      </c>
      <c r="H20" s="1">
        <v>2720521.42</v>
      </c>
    </row>
    <row r="21" spans="1:8" x14ac:dyDescent="0.2">
      <c r="A21">
        <v>2024</v>
      </c>
      <c r="B21">
        <v>104</v>
      </c>
      <c r="C21" s="1">
        <v>31194993.100000001</v>
      </c>
      <c r="E21" s="4">
        <v>113</v>
      </c>
      <c r="F21" s="1">
        <v>16043912.4</v>
      </c>
      <c r="G21" s="1">
        <v>22240725.960000001</v>
      </c>
      <c r="H21" s="1">
        <v>38284638.359999999</v>
      </c>
    </row>
    <row r="22" spans="1:8" x14ac:dyDescent="0.2">
      <c r="A22">
        <v>2023</v>
      </c>
      <c r="B22">
        <v>105</v>
      </c>
      <c r="C22" s="1">
        <v>17519638.48</v>
      </c>
      <c r="E22" s="4">
        <v>114</v>
      </c>
      <c r="F22" s="1">
        <v>2168334.7799999998</v>
      </c>
      <c r="G22" s="1">
        <v>3343502.45</v>
      </c>
      <c r="H22" s="1">
        <v>5511837.2300000004</v>
      </c>
    </row>
    <row r="23" spans="1:8" x14ac:dyDescent="0.2">
      <c r="A23">
        <v>2024</v>
      </c>
      <c r="B23">
        <v>105</v>
      </c>
      <c r="C23" s="1">
        <v>18129014.579999998</v>
      </c>
      <c r="E23" s="4">
        <v>115</v>
      </c>
      <c r="F23" s="1">
        <v>2072661.93</v>
      </c>
      <c r="G23" s="1">
        <v>2172993.42</v>
      </c>
      <c r="H23" s="1">
        <v>4245655.3499999996</v>
      </c>
    </row>
    <row r="24" spans="1:8" x14ac:dyDescent="0.2">
      <c r="A24">
        <v>2023</v>
      </c>
      <c r="B24">
        <v>106</v>
      </c>
      <c r="C24" s="1">
        <v>1152421.92</v>
      </c>
      <c r="E24" s="4">
        <v>116</v>
      </c>
      <c r="F24" s="1">
        <v>40706113.109999999</v>
      </c>
      <c r="G24" s="1">
        <v>46503561.299999997</v>
      </c>
      <c r="H24" s="1">
        <v>87209674.409999996</v>
      </c>
    </row>
    <row r="25" spans="1:8" x14ac:dyDescent="0.2">
      <c r="A25">
        <v>2024</v>
      </c>
      <c r="B25">
        <v>106</v>
      </c>
      <c r="C25" s="1">
        <v>884371.6</v>
      </c>
      <c r="E25" s="4">
        <v>117</v>
      </c>
      <c r="F25" s="1">
        <v>18661559646.310001</v>
      </c>
      <c r="G25" s="1">
        <v>21551212463.759998</v>
      </c>
      <c r="H25" s="1">
        <v>40212772110.07</v>
      </c>
    </row>
    <row r="26" spans="1:8" x14ac:dyDescent="0.2">
      <c r="A26">
        <v>2023</v>
      </c>
      <c r="B26">
        <v>107</v>
      </c>
      <c r="C26" s="1">
        <v>5879819.5999999996</v>
      </c>
      <c r="E26" s="4">
        <v>118</v>
      </c>
      <c r="F26" s="1">
        <v>7931146.96</v>
      </c>
      <c r="G26" s="1">
        <v>9769247.6799999997</v>
      </c>
      <c r="H26" s="1">
        <v>17700394.640000001</v>
      </c>
    </row>
    <row r="27" spans="1:8" x14ac:dyDescent="0.2">
      <c r="A27">
        <v>2024</v>
      </c>
      <c r="B27">
        <v>107</v>
      </c>
      <c r="C27" s="1">
        <v>10551341.539999999</v>
      </c>
      <c r="E27" s="4">
        <v>120</v>
      </c>
      <c r="F27" s="1">
        <v>6115530163.9300003</v>
      </c>
      <c r="G27" s="1">
        <v>6682701354.6700001</v>
      </c>
      <c r="H27" s="1">
        <v>12798231518.6</v>
      </c>
    </row>
    <row r="28" spans="1:8" x14ac:dyDescent="0.2">
      <c r="A28">
        <v>2023</v>
      </c>
      <c r="B28">
        <v>108</v>
      </c>
      <c r="C28" s="1">
        <v>4143647.63</v>
      </c>
      <c r="E28" s="4">
        <v>121</v>
      </c>
      <c r="F28" s="1">
        <v>20239641.870000001</v>
      </c>
      <c r="G28" s="1">
        <v>24816822.5</v>
      </c>
      <c r="H28" s="1">
        <v>45056464.370000005</v>
      </c>
    </row>
    <row r="29" spans="1:8" x14ac:dyDescent="0.2">
      <c r="A29">
        <v>2024</v>
      </c>
      <c r="B29">
        <v>108</v>
      </c>
      <c r="C29" s="1">
        <v>8565040.6600000001</v>
      </c>
      <c r="E29" s="4">
        <v>130</v>
      </c>
      <c r="F29" s="1">
        <v>572263498.75999999</v>
      </c>
      <c r="G29" s="1">
        <v>591554560.12</v>
      </c>
      <c r="H29" s="1">
        <v>1163818058.8800001</v>
      </c>
    </row>
    <row r="30" spans="1:8" x14ac:dyDescent="0.2">
      <c r="A30">
        <v>2023</v>
      </c>
      <c r="B30">
        <v>109</v>
      </c>
      <c r="C30" s="1">
        <v>135937346.30000001</v>
      </c>
      <c r="E30" s="4">
        <v>131</v>
      </c>
      <c r="F30" s="1">
        <v>13916910.4</v>
      </c>
      <c r="G30" s="1">
        <v>10141049.35</v>
      </c>
      <c r="H30" s="1">
        <v>24057959.75</v>
      </c>
    </row>
    <row r="31" spans="1:8" x14ac:dyDescent="0.2">
      <c r="A31">
        <v>2024</v>
      </c>
      <c r="B31">
        <v>109</v>
      </c>
      <c r="C31" s="1">
        <v>150888341.96000001</v>
      </c>
      <c r="E31" s="4">
        <v>140</v>
      </c>
      <c r="F31" s="1">
        <v>26175866.52</v>
      </c>
      <c r="G31" s="1">
        <v>24186204.640000001</v>
      </c>
      <c r="H31" s="1">
        <v>50362071.159999996</v>
      </c>
    </row>
    <row r="32" spans="1:8" x14ac:dyDescent="0.2">
      <c r="A32">
        <v>2023</v>
      </c>
      <c r="B32">
        <v>110</v>
      </c>
      <c r="C32" s="1">
        <v>22328248.780000001</v>
      </c>
      <c r="E32" s="4">
        <v>211</v>
      </c>
      <c r="F32" s="1">
        <v>7390522.0499999998</v>
      </c>
      <c r="G32" s="1">
        <v>6886420.0099999998</v>
      </c>
      <c r="H32" s="1">
        <v>14276942.059999999</v>
      </c>
    </row>
    <row r="33" spans="1:8" x14ac:dyDescent="0.2">
      <c r="A33">
        <v>2024</v>
      </c>
      <c r="B33">
        <v>110</v>
      </c>
      <c r="C33" s="1">
        <v>23298295</v>
      </c>
      <c r="E33" s="4">
        <v>212</v>
      </c>
      <c r="F33" s="1">
        <v>110382991.68000001</v>
      </c>
      <c r="G33" s="1">
        <v>108510344.75</v>
      </c>
      <c r="H33" s="1">
        <v>218893336.43000001</v>
      </c>
    </row>
    <row r="34" spans="1:8" x14ac:dyDescent="0.2">
      <c r="A34">
        <v>2023</v>
      </c>
      <c r="B34">
        <v>111</v>
      </c>
      <c r="C34" s="1">
        <v>14523504.109999999</v>
      </c>
      <c r="E34" s="4">
        <v>213</v>
      </c>
      <c r="F34" s="1">
        <v>10471793.24</v>
      </c>
      <c r="G34" s="1">
        <v>10274371.869999999</v>
      </c>
      <c r="H34" s="1">
        <v>20746165.109999999</v>
      </c>
    </row>
    <row r="35" spans="1:8" x14ac:dyDescent="0.2">
      <c r="A35">
        <v>2024</v>
      </c>
      <c r="B35">
        <v>111</v>
      </c>
      <c r="C35" s="1">
        <v>15901258.289999999</v>
      </c>
      <c r="E35" s="4">
        <v>214</v>
      </c>
      <c r="F35" s="1">
        <v>643576956.48000002</v>
      </c>
      <c r="G35" s="1">
        <v>663812279.40999997</v>
      </c>
      <c r="H35" s="1">
        <v>1307389235.8899999</v>
      </c>
    </row>
    <row r="36" spans="1:8" x14ac:dyDescent="0.2">
      <c r="A36">
        <v>2023</v>
      </c>
      <c r="B36">
        <v>112</v>
      </c>
      <c r="C36" s="1">
        <v>1606044.24</v>
      </c>
      <c r="E36" s="4">
        <v>215</v>
      </c>
      <c r="F36" s="1">
        <v>5105783.21</v>
      </c>
      <c r="G36" s="1">
        <v>5678507.6399999997</v>
      </c>
      <c r="H36" s="1">
        <v>10784290.85</v>
      </c>
    </row>
    <row r="37" spans="1:8" x14ac:dyDescent="0.2">
      <c r="A37">
        <v>2024</v>
      </c>
      <c r="B37">
        <v>112</v>
      </c>
      <c r="C37" s="1">
        <v>1114477.18</v>
      </c>
      <c r="E37" s="4">
        <v>221</v>
      </c>
      <c r="F37" s="1">
        <v>55642636.109999999</v>
      </c>
      <c r="G37" s="1">
        <v>67898923.439999998</v>
      </c>
      <c r="H37" s="1">
        <v>123541559.55</v>
      </c>
    </row>
    <row r="38" spans="1:8" x14ac:dyDescent="0.2">
      <c r="A38">
        <v>2023</v>
      </c>
      <c r="B38">
        <v>113</v>
      </c>
      <c r="C38" s="1">
        <v>16043912.4</v>
      </c>
      <c r="E38" s="4">
        <v>222</v>
      </c>
      <c r="F38" s="1">
        <v>33643635.399999999</v>
      </c>
      <c r="G38" s="1">
        <v>35797549.710000001</v>
      </c>
      <c r="H38" s="1">
        <v>69441185.109999999</v>
      </c>
    </row>
    <row r="39" spans="1:8" x14ac:dyDescent="0.2">
      <c r="A39">
        <v>2024</v>
      </c>
      <c r="B39">
        <v>113</v>
      </c>
      <c r="C39" s="1">
        <v>22240725.960000001</v>
      </c>
      <c r="E39" s="4">
        <v>224</v>
      </c>
      <c r="F39" s="1">
        <v>200712790.08000001</v>
      </c>
      <c r="G39" s="1">
        <v>225380214.44999999</v>
      </c>
      <c r="H39" s="1">
        <v>426093004.52999997</v>
      </c>
    </row>
    <row r="40" spans="1:8" x14ac:dyDescent="0.2">
      <c r="A40">
        <v>2023</v>
      </c>
      <c r="B40">
        <v>114</v>
      </c>
      <c r="C40" s="1">
        <v>2168334.7799999998</v>
      </c>
      <c r="E40" s="4">
        <v>225</v>
      </c>
      <c r="F40" s="1">
        <v>3725110398.4200001</v>
      </c>
      <c r="G40" s="1">
        <v>3801009501.96</v>
      </c>
      <c r="H40" s="1">
        <v>7526119900.3800001</v>
      </c>
    </row>
    <row r="41" spans="1:8" x14ac:dyDescent="0.2">
      <c r="A41">
        <v>2024</v>
      </c>
      <c r="B41">
        <v>114</v>
      </c>
      <c r="C41" s="1">
        <v>3343502.45</v>
      </c>
      <c r="E41" s="4">
        <v>226</v>
      </c>
      <c r="F41" s="1">
        <v>9874060342.6800003</v>
      </c>
      <c r="G41" s="1">
        <v>10291488835.26</v>
      </c>
      <c r="H41" s="1">
        <v>20165549177.940002</v>
      </c>
    </row>
    <row r="42" spans="1:8" x14ac:dyDescent="0.2">
      <c r="A42">
        <v>2023</v>
      </c>
      <c r="B42">
        <v>115</v>
      </c>
      <c r="C42" s="1">
        <v>2072661.93</v>
      </c>
      <c r="E42" s="4">
        <v>227</v>
      </c>
      <c r="F42" s="1">
        <v>258780020.31</v>
      </c>
      <c r="G42" s="1">
        <v>297984511.54000002</v>
      </c>
      <c r="H42" s="1">
        <v>556764531.85000002</v>
      </c>
    </row>
    <row r="43" spans="1:8" x14ac:dyDescent="0.2">
      <c r="A43">
        <v>2024</v>
      </c>
      <c r="B43">
        <v>115</v>
      </c>
      <c r="C43" s="1">
        <v>2172993.42</v>
      </c>
      <c r="E43" s="4">
        <v>228</v>
      </c>
      <c r="F43" s="1">
        <v>222993504.84</v>
      </c>
      <c r="G43" s="1">
        <v>223741648.63</v>
      </c>
      <c r="H43" s="1">
        <v>446735153.47000003</v>
      </c>
    </row>
    <row r="44" spans="1:8" x14ac:dyDescent="0.2">
      <c r="A44">
        <v>2023</v>
      </c>
      <c r="B44">
        <v>116</v>
      </c>
      <c r="C44" s="1">
        <v>40706113.109999999</v>
      </c>
      <c r="E44" s="4">
        <v>229</v>
      </c>
      <c r="F44" s="1">
        <v>1988559826.47</v>
      </c>
      <c r="G44" s="1"/>
      <c r="H44" s="1">
        <v>1988559826.47</v>
      </c>
    </row>
    <row r="45" spans="1:8" x14ac:dyDescent="0.2">
      <c r="A45">
        <v>2024</v>
      </c>
      <c r="B45">
        <v>116</v>
      </c>
      <c r="C45" s="1">
        <v>46503561.299999997</v>
      </c>
      <c r="E45" s="4">
        <v>230</v>
      </c>
      <c r="F45" s="1"/>
      <c r="G45" s="1">
        <v>335954469.06999999</v>
      </c>
      <c r="H45" s="1">
        <v>335954469.06999999</v>
      </c>
    </row>
    <row r="46" spans="1:8" x14ac:dyDescent="0.2">
      <c r="A46">
        <v>2023</v>
      </c>
      <c r="B46">
        <v>117</v>
      </c>
      <c r="C46" s="1">
        <v>18661559646.310001</v>
      </c>
      <c r="E46" s="4">
        <v>231</v>
      </c>
      <c r="F46" s="1"/>
      <c r="G46" s="1">
        <v>1369098913.96</v>
      </c>
      <c r="H46" s="1">
        <v>1369098913.96</v>
      </c>
    </row>
    <row r="47" spans="1:8" x14ac:dyDescent="0.2">
      <c r="A47">
        <v>2024</v>
      </c>
      <c r="B47">
        <v>117</v>
      </c>
      <c r="C47" s="1">
        <v>21551212463.759998</v>
      </c>
      <c r="E47" s="4">
        <v>232</v>
      </c>
      <c r="F47" s="1"/>
      <c r="G47" s="1">
        <v>105550389</v>
      </c>
      <c r="H47" s="1">
        <v>105550389</v>
      </c>
    </row>
    <row r="48" spans="1:8" x14ac:dyDescent="0.2">
      <c r="A48">
        <v>2023</v>
      </c>
      <c r="B48">
        <v>118</v>
      </c>
      <c r="C48" s="1">
        <v>7931146.96</v>
      </c>
      <c r="E48" s="4">
        <v>241</v>
      </c>
      <c r="F48" s="1">
        <v>1943594594.02</v>
      </c>
      <c r="G48" s="1">
        <v>2201730867.4299998</v>
      </c>
      <c r="H48" s="1">
        <v>4145325461.4499998</v>
      </c>
    </row>
    <row r="49" spans="1:8" x14ac:dyDescent="0.2">
      <c r="A49">
        <v>2024</v>
      </c>
      <c r="B49">
        <v>118</v>
      </c>
      <c r="C49" s="1">
        <v>9769247.6799999997</v>
      </c>
      <c r="E49" s="4">
        <v>250</v>
      </c>
      <c r="F49" s="1">
        <v>2068651.15</v>
      </c>
      <c r="G49" s="1">
        <v>1394623.29</v>
      </c>
      <c r="H49" s="1">
        <v>3463274.44</v>
      </c>
    </row>
    <row r="50" spans="1:8" x14ac:dyDescent="0.2">
      <c r="A50">
        <v>2023</v>
      </c>
      <c r="B50">
        <v>120</v>
      </c>
      <c r="C50" s="1">
        <v>6115530163.9300003</v>
      </c>
      <c r="E50" s="4">
        <v>251</v>
      </c>
      <c r="F50" s="1">
        <v>696438.81</v>
      </c>
      <c r="G50" s="1">
        <v>576984.87</v>
      </c>
      <c r="H50" s="1">
        <v>1273423.6800000002</v>
      </c>
    </row>
    <row r="51" spans="1:8" x14ac:dyDescent="0.2">
      <c r="A51">
        <v>2024</v>
      </c>
      <c r="B51">
        <v>120</v>
      </c>
      <c r="C51" s="1">
        <v>6682701354.6700001</v>
      </c>
      <c r="E51" s="4">
        <v>252</v>
      </c>
      <c r="F51" s="1">
        <v>457182165.07999998</v>
      </c>
      <c r="G51" s="1">
        <v>474876000.36000001</v>
      </c>
      <c r="H51" s="1">
        <v>932058165.44000006</v>
      </c>
    </row>
    <row r="52" spans="1:8" x14ac:dyDescent="0.2">
      <c r="A52">
        <v>2023</v>
      </c>
      <c r="B52">
        <v>121</v>
      </c>
      <c r="C52" s="1">
        <v>20239641.870000001</v>
      </c>
      <c r="E52" s="4">
        <v>253</v>
      </c>
      <c r="F52" s="1">
        <v>62139216.950000003</v>
      </c>
      <c r="G52" s="1">
        <v>75003518.909999996</v>
      </c>
      <c r="H52" s="1">
        <v>137142735.86000001</v>
      </c>
    </row>
    <row r="53" spans="1:8" x14ac:dyDescent="0.2">
      <c r="A53">
        <v>2024</v>
      </c>
      <c r="B53">
        <v>121</v>
      </c>
      <c r="C53" s="1">
        <v>24816822.5</v>
      </c>
      <c r="E53" s="4">
        <v>254</v>
      </c>
      <c r="F53" s="1">
        <v>68904433.799999997</v>
      </c>
      <c r="G53" s="1">
        <v>75400950.709999993</v>
      </c>
      <c r="H53" s="1">
        <v>144305384.50999999</v>
      </c>
    </row>
    <row r="54" spans="1:8" x14ac:dyDescent="0.2">
      <c r="A54">
        <v>2023</v>
      </c>
      <c r="B54">
        <v>130</v>
      </c>
      <c r="C54" s="1">
        <v>572263498.75999999</v>
      </c>
      <c r="E54" s="4">
        <v>255</v>
      </c>
      <c r="F54" s="1">
        <v>2551790055.8699999</v>
      </c>
      <c r="G54" s="1">
        <v>2996133510.98</v>
      </c>
      <c r="H54" s="1">
        <v>5547923566.8500004</v>
      </c>
    </row>
    <row r="55" spans="1:8" x14ac:dyDescent="0.2">
      <c r="A55">
        <v>2024</v>
      </c>
      <c r="B55">
        <v>130</v>
      </c>
      <c r="C55" s="1">
        <v>591554560.12</v>
      </c>
      <c r="E55" s="4">
        <v>256</v>
      </c>
      <c r="F55" s="1">
        <v>844681.17</v>
      </c>
      <c r="G55" s="1">
        <v>1057799.1000000001</v>
      </c>
      <c r="H55" s="1">
        <v>1902480.27</v>
      </c>
    </row>
    <row r="56" spans="1:8" x14ac:dyDescent="0.2">
      <c r="A56">
        <v>2023</v>
      </c>
      <c r="B56">
        <v>131</v>
      </c>
      <c r="C56" s="1">
        <v>13916910.4</v>
      </c>
      <c r="E56" s="4">
        <v>257</v>
      </c>
      <c r="F56" s="1">
        <v>786425.88</v>
      </c>
      <c r="G56" s="1">
        <v>667704.81999999995</v>
      </c>
      <c r="H56" s="1">
        <v>1454130.7</v>
      </c>
    </row>
    <row r="57" spans="1:8" x14ac:dyDescent="0.2">
      <c r="A57">
        <v>2024</v>
      </c>
      <c r="B57">
        <v>131</v>
      </c>
      <c r="C57" s="1">
        <v>10141049.35</v>
      </c>
      <c r="E57" s="4">
        <v>258</v>
      </c>
      <c r="F57" s="1">
        <v>7745979.0700000003</v>
      </c>
      <c r="G57" s="1">
        <v>9405280.8300000001</v>
      </c>
      <c r="H57" s="1">
        <v>17151259.899999999</v>
      </c>
    </row>
    <row r="58" spans="1:8" x14ac:dyDescent="0.2">
      <c r="A58">
        <v>2023</v>
      </c>
      <c r="B58">
        <v>140</v>
      </c>
      <c r="C58" s="1">
        <v>26175866.52</v>
      </c>
      <c r="E58" s="4">
        <v>259</v>
      </c>
      <c r="F58" s="1">
        <v>677635.42</v>
      </c>
      <c r="G58" s="1">
        <v>771109.12</v>
      </c>
      <c r="H58" s="1">
        <v>1448744.54</v>
      </c>
    </row>
    <row r="59" spans="1:8" x14ac:dyDescent="0.2">
      <c r="A59">
        <v>2024</v>
      </c>
      <c r="B59">
        <v>140</v>
      </c>
      <c r="C59" s="1">
        <v>24186204.640000001</v>
      </c>
      <c r="E59" s="4">
        <v>261</v>
      </c>
      <c r="F59" s="1">
        <v>22257654.23</v>
      </c>
      <c r="G59" s="1">
        <v>24097620.050000001</v>
      </c>
      <c r="H59" s="1">
        <v>46355274.280000001</v>
      </c>
    </row>
    <row r="60" spans="1:8" x14ac:dyDescent="0.2">
      <c r="A60">
        <v>2023</v>
      </c>
      <c r="B60">
        <v>211</v>
      </c>
      <c r="C60" s="1">
        <v>7390522.0499999998</v>
      </c>
      <c r="E60" s="4">
        <v>263</v>
      </c>
      <c r="F60" s="1">
        <v>89765448.849999994</v>
      </c>
      <c r="G60" s="1">
        <v>92134876.269999996</v>
      </c>
      <c r="H60" s="1">
        <v>181900325.12</v>
      </c>
    </row>
    <row r="61" spans="1:8" x14ac:dyDescent="0.2">
      <c r="A61">
        <v>2024</v>
      </c>
      <c r="B61">
        <v>211</v>
      </c>
      <c r="C61" s="1">
        <v>6886420.0099999998</v>
      </c>
      <c r="E61" s="4">
        <v>264</v>
      </c>
      <c r="F61" s="1">
        <v>17385533.34</v>
      </c>
      <c r="G61" s="1">
        <v>20334640.379999999</v>
      </c>
      <c r="H61" s="1">
        <v>37720173.719999999</v>
      </c>
    </row>
    <row r="62" spans="1:8" x14ac:dyDescent="0.2">
      <c r="A62">
        <v>2023</v>
      </c>
      <c r="B62">
        <v>212</v>
      </c>
      <c r="C62" s="1">
        <v>110382991.68000001</v>
      </c>
      <c r="E62" s="4">
        <v>265</v>
      </c>
      <c r="F62" s="1">
        <v>1477490.09</v>
      </c>
      <c r="G62" s="1">
        <v>1935511.02</v>
      </c>
      <c r="H62" s="1">
        <v>3413001.1100000003</v>
      </c>
    </row>
    <row r="63" spans="1:8" x14ac:dyDescent="0.2">
      <c r="A63">
        <v>2024</v>
      </c>
      <c r="B63">
        <v>212</v>
      </c>
      <c r="C63" s="1">
        <v>108510344.75</v>
      </c>
      <c r="E63" s="4">
        <v>266</v>
      </c>
      <c r="F63" s="1">
        <v>4623374.0999999996</v>
      </c>
      <c r="G63" s="1">
        <v>5073376.71</v>
      </c>
      <c r="H63" s="1">
        <v>9696750.8099999987</v>
      </c>
    </row>
    <row r="64" spans="1:8" x14ac:dyDescent="0.2">
      <c r="A64">
        <v>2023</v>
      </c>
      <c r="B64">
        <v>213</v>
      </c>
      <c r="C64" s="1">
        <v>10471793.24</v>
      </c>
      <c r="E64" s="4">
        <v>271</v>
      </c>
      <c r="F64" s="1">
        <v>2217556.64</v>
      </c>
      <c r="G64" s="1">
        <v>1971477.29</v>
      </c>
      <c r="H64" s="1">
        <v>4189033.93</v>
      </c>
    </row>
    <row r="65" spans="1:8" x14ac:dyDescent="0.2">
      <c r="A65">
        <v>2024</v>
      </c>
      <c r="B65">
        <v>213</v>
      </c>
      <c r="C65" s="1">
        <v>10274371.869999999</v>
      </c>
      <c r="E65" s="4">
        <v>272</v>
      </c>
      <c r="F65" s="1">
        <v>6234406.8700000001</v>
      </c>
      <c r="G65" s="1">
        <v>5634358.5599999996</v>
      </c>
      <c r="H65" s="1">
        <v>11868765.43</v>
      </c>
    </row>
    <row r="66" spans="1:8" x14ac:dyDescent="0.2">
      <c r="A66">
        <v>2023</v>
      </c>
      <c r="B66">
        <v>214</v>
      </c>
      <c r="C66" s="1">
        <v>643576956.48000002</v>
      </c>
      <c r="E66" s="4">
        <v>273</v>
      </c>
      <c r="F66" s="1">
        <v>14991848.220000001</v>
      </c>
      <c r="G66" s="1">
        <v>13754625.52</v>
      </c>
      <c r="H66" s="1">
        <v>28746473.740000002</v>
      </c>
    </row>
    <row r="67" spans="1:8" x14ac:dyDescent="0.2">
      <c r="A67">
        <v>2024</v>
      </c>
      <c r="B67">
        <v>214</v>
      </c>
      <c r="C67" s="1">
        <v>663812279.40999997</v>
      </c>
      <c r="E67" s="4">
        <v>274</v>
      </c>
      <c r="F67" s="1">
        <v>30694305.52</v>
      </c>
      <c r="G67" s="1">
        <v>32467815.789999999</v>
      </c>
      <c r="H67" s="1">
        <v>63162121.310000002</v>
      </c>
    </row>
    <row r="68" spans="1:8" x14ac:dyDescent="0.2">
      <c r="A68">
        <v>2023</v>
      </c>
      <c r="B68">
        <v>215</v>
      </c>
      <c r="C68" s="1">
        <v>5105783.21</v>
      </c>
      <c r="E68" s="4">
        <v>275</v>
      </c>
      <c r="F68" s="1">
        <v>39436935.950000003</v>
      </c>
      <c r="G68" s="1">
        <v>44852642.030000001</v>
      </c>
      <c r="H68" s="1">
        <v>84289577.980000004</v>
      </c>
    </row>
    <row r="69" spans="1:8" x14ac:dyDescent="0.2">
      <c r="A69">
        <v>2024</v>
      </c>
      <c r="B69">
        <v>215</v>
      </c>
      <c r="C69" s="1">
        <v>5678507.6399999997</v>
      </c>
      <c r="E69" s="4">
        <v>276</v>
      </c>
      <c r="F69" s="1">
        <v>7599089.5999999996</v>
      </c>
      <c r="G69" s="1">
        <v>6887154.1699999999</v>
      </c>
      <c r="H69" s="1">
        <v>14486243.77</v>
      </c>
    </row>
    <row r="70" spans="1:8" x14ac:dyDescent="0.2">
      <c r="A70">
        <v>2023</v>
      </c>
      <c r="B70">
        <v>221</v>
      </c>
      <c r="C70" s="1">
        <v>55642636.109999999</v>
      </c>
      <c r="E70" s="4">
        <v>277</v>
      </c>
      <c r="F70" s="1">
        <v>17159200.41</v>
      </c>
      <c r="G70" s="1">
        <v>17683467.399999999</v>
      </c>
      <c r="H70" s="1">
        <v>34842667.810000002</v>
      </c>
    </row>
    <row r="71" spans="1:8" x14ac:dyDescent="0.2">
      <c r="A71">
        <v>2024</v>
      </c>
      <c r="B71">
        <v>221</v>
      </c>
      <c r="C71" s="1">
        <v>67898923.439999998</v>
      </c>
      <c r="E71" s="4">
        <v>279</v>
      </c>
      <c r="F71" s="1">
        <v>24282928.59</v>
      </c>
      <c r="G71" s="1">
        <v>23344067.010000002</v>
      </c>
      <c r="H71" s="1">
        <v>47626995.600000001</v>
      </c>
    </row>
    <row r="72" spans="1:8" x14ac:dyDescent="0.2">
      <c r="A72">
        <v>2023</v>
      </c>
      <c r="B72">
        <v>222</v>
      </c>
      <c r="C72" s="1">
        <v>33643635.399999999</v>
      </c>
      <c r="E72" s="4">
        <v>290</v>
      </c>
      <c r="F72" s="1">
        <v>39862660.390000001</v>
      </c>
      <c r="G72" s="1">
        <v>42935523.460000001</v>
      </c>
      <c r="H72" s="1">
        <v>82798183.849999994</v>
      </c>
    </row>
    <row r="73" spans="1:8" x14ac:dyDescent="0.2">
      <c r="A73">
        <v>2024</v>
      </c>
      <c r="B73">
        <v>222</v>
      </c>
      <c r="C73" s="1">
        <v>35797549.710000001</v>
      </c>
      <c r="E73" s="4">
        <v>291</v>
      </c>
      <c r="F73" s="1">
        <v>59477446.219999999</v>
      </c>
      <c r="G73" s="1">
        <v>63070843.359999999</v>
      </c>
      <c r="H73" s="1">
        <v>122548289.58</v>
      </c>
    </row>
    <row r="74" spans="1:8" x14ac:dyDescent="0.2">
      <c r="A74">
        <v>2023</v>
      </c>
      <c r="B74">
        <v>224</v>
      </c>
      <c r="C74" s="1">
        <v>200712790.08000001</v>
      </c>
      <c r="E74" s="4">
        <v>292</v>
      </c>
      <c r="F74" s="1">
        <v>43797264.189999998</v>
      </c>
      <c r="G74" s="1">
        <v>43625567.030000001</v>
      </c>
      <c r="H74" s="1">
        <v>87422831.219999999</v>
      </c>
    </row>
    <row r="75" spans="1:8" x14ac:dyDescent="0.2">
      <c r="A75">
        <v>2024</v>
      </c>
      <c r="B75">
        <v>224</v>
      </c>
      <c r="C75" s="1">
        <v>225380214.44999999</v>
      </c>
      <c r="E75" s="4">
        <v>293</v>
      </c>
      <c r="F75" s="1">
        <v>17297598.219999999</v>
      </c>
      <c r="G75" s="1">
        <v>17904564.399999999</v>
      </c>
      <c r="H75" s="1">
        <v>35202162.619999997</v>
      </c>
    </row>
    <row r="76" spans="1:8" x14ac:dyDescent="0.2">
      <c r="A76">
        <v>2023</v>
      </c>
      <c r="B76">
        <v>225</v>
      </c>
      <c r="C76" s="1">
        <v>3725110398.4200001</v>
      </c>
      <c r="E76" s="4">
        <v>294</v>
      </c>
      <c r="F76" s="1">
        <v>127216286.97</v>
      </c>
      <c r="G76" s="1">
        <v>131781992.93000001</v>
      </c>
      <c r="H76" s="1">
        <v>258998279.90000001</v>
      </c>
    </row>
    <row r="77" spans="1:8" x14ac:dyDescent="0.2">
      <c r="A77">
        <v>2024</v>
      </c>
      <c r="B77">
        <v>225</v>
      </c>
      <c r="C77" s="1">
        <v>3801009501.96</v>
      </c>
      <c r="E77" s="4">
        <v>295</v>
      </c>
      <c r="F77" s="1">
        <v>126650239.38</v>
      </c>
      <c r="G77" s="1">
        <v>133359031.66</v>
      </c>
      <c r="H77" s="1">
        <v>260009271.03999999</v>
      </c>
    </row>
    <row r="78" spans="1:8" x14ac:dyDescent="0.2">
      <c r="A78">
        <v>2023</v>
      </c>
      <c r="B78">
        <v>226</v>
      </c>
      <c r="C78" s="1">
        <v>9874060342.6800003</v>
      </c>
      <c r="E78" s="4">
        <v>296</v>
      </c>
      <c r="F78" s="1">
        <v>49090403.710000001</v>
      </c>
      <c r="G78" s="1">
        <v>53451643.219999999</v>
      </c>
      <c r="H78" s="1">
        <v>102542046.93000001</v>
      </c>
    </row>
    <row r="79" spans="1:8" x14ac:dyDescent="0.2">
      <c r="A79">
        <v>2024</v>
      </c>
      <c r="B79">
        <v>226</v>
      </c>
      <c r="C79" s="1">
        <v>10291488835.26</v>
      </c>
      <c r="E79" s="4">
        <v>311</v>
      </c>
      <c r="F79" s="1">
        <v>2311622.9900000002</v>
      </c>
      <c r="G79" s="1">
        <v>2938999.77</v>
      </c>
      <c r="H79" s="1">
        <v>5250622.76</v>
      </c>
    </row>
    <row r="80" spans="1:8" x14ac:dyDescent="0.2">
      <c r="A80">
        <v>2023</v>
      </c>
      <c r="B80">
        <v>227</v>
      </c>
      <c r="C80" s="1">
        <v>258780020.31</v>
      </c>
      <c r="E80" s="4">
        <v>312</v>
      </c>
      <c r="F80" s="1">
        <v>34183643.729999997</v>
      </c>
      <c r="G80" s="1">
        <v>37061481.109999999</v>
      </c>
      <c r="H80" s="1">
        <v>71245124.840000004</v>
      </c>
    </row>
    <row r="81" spans="1:8" x14ac:dyDescent="0.2">
      <c r="A81">
        <v>2024</v>
      </c>
      <c r="B81">
        <v>227</v>
      </c>
      <c r="C81" s="1">
        <v>297984511.54000002</v>
      </c>
      <c r="E81" s="4">
        <v>313</v>
      </c>
      <c r="F81" s="1">
        <v>17712122.350000001</v>
      </c>
      <c r="G81" s="1">
        <v>19243579.559999999</v>
      </c>
      <c r="H81" s="1">
        <v>36955701.909999996</v>
      </c>
    </row>
    <row r="82" spans="1:8" x14ac:dyDescent="0.2">
      <c r="A82">
        <v>2023</v>
      </c>
      <c r="B82">
        <v>228</v>
      </c>
      <c r="C82" s="1">
        <v>222993504.84</v>
      </c>
      <c r="E82" s="4">
        <v>314</v>
      </c>
      <c r="F82" s="1">
        <v>4923434.3899999997</v>
      </c>
      <c r="G82" s="1">
        <v>6776608.4400000004</v>
      </c>
      <c r="H82" s="1">
        <v>11700042.83</v>
      </c>
    </row>
    <row r="83" spans="1:8" x14ac:dyDescent="0.2">
      <c r="A83">
        <v>2024</v>
      </c>
      <c r="B83">
        <v>228</v>
      </c>
      <c r="C83" s="1">
        <v>223741648.63</v>
      </c>
      <c r="E83" s="4">
        <v>316</v>
      </c>
      <c r="F83" s="1">
        <v>1236817.01</v>
      </c>
      <c r="G83" s="1">
        <v>949554.1</v>
      </c>
      <c r="H83" s="1">
        <v>2186371.11</v>
      </c>
    </row>
    <row r="84" spans="1:8" x14ac:dyDescent="0.2">
      <c r="A84">
        <v>2023</v>
      </c>
      <c r="B84">
        <v>229</v>
      </c>
      <c r="C84" s="1">
        <v>1988559826.47</v>
      </c>
      <c r="E84" s="4">
        <v>317</v>
      </c>
      <c r="F84" s="1">
        <v>36089469.68</v>
      </c>
      <c r="G84" s="1">
        <v>39208288.009999998</v>
      </c>
      <c r="H84" s="1">
        <v>75297757.689999998</v>
      </c>
    </row>
    <row r="85" spans="1:8" x14ac:dyDescent="0.2">
      <c r="A85">
        <v>2024</v>
      </c>
      <c r="B85">
        <v>230</v>
      </c>
      <c r="C85" s="1">
        <v>335954469.06999999</v>
      </c>
      <c r="E85" s="4">
        <v>318</v>
      </c>
      <c r="F85" s="1">
        <v>5716513.71</v>
      </c>
      <c r="G85" s="1">
        <v>5860498.0099999998</v>
      </c>
      <c r="H85" s="1">
        <v>11577011.719999999</v>
      </c>
    </row>
    <row r="86" spans="1:8" x14ac:dyDescent="0.2">
      <c r="A86">
        <v>2024</v>
      </c>
      <c r="B86">
        <v>231</v>
      </c>
      <c r="C86" s="1">
        <v>1369098913.96</v>
      </c>
      <c r="E86" s="4">
        <v>319</v>
      </c>
      <c r="F86" s="1">
        <v>23637950.5</v>
      </c>
      <c r="G86" s="1">
        <v>26426348.899999999</v>
      </c>
      <c r="H86" s="1">
        <v>50064299.399999999</v>
      </c>
    </row>
    <row r="87" spans="1:8" x14ac:dyDescent="0.2">
      <c r="A87">
        <v>2024</v>
      </c>
      <c r="B87">
        <v>232</v>
      </c>
      <c r="C87" s="1">
        <v>105550389</v>
      </c>
      <c r="E87" s="4">
        <v>320</v>
      </c>
      <c r="F87" s="1">
        <v>608342.32999999996</v>
      </c>
      <c r="G87" s="1">
        <v>254220.25</v>
      </c>
      <c r="H87" s="1">
        <v>862562.58</v>
      </c>
    </row>
    <row r="88" spans="1:8" x14ac:dyDescent="0.2">
      <c r="A88">
        <v>2023</v>
      </c>
      <c r="B88">
        <v>241</v>
      </c>
      <c r="C88" s="1">
        <v>1943594594.02</v>
      </c>
      <c r="E88" s="4">
        <v>321</v>
      </c>
      <c r="F88" s="1">
        <v>6104697.5899999999</v>
      </c>
      <c r="G88" s="1">
        <v>5390125.2599999998</v>
      </c>
      <c r="H88" s="1">
        <v>11494822.85</v>
      </c>
    </row>
    <row r="89" spans="1:8" x14ac:dyDescent="0.2">
      <c r="A89">
        <v>2024</v>
      </c>
      <c r="B89">
        <v>241</v>
      </c>
      <c r="C89" s="1">
        <v>2201730867.4299998</v>
      </c>
      <c r="E89" s="4">
        <v>322</v>
      </c>
      <c r="F89" s="1">
        <v>70226508.599999994</v>
      </c>
      <c r="G89" s="1">
        <v>72496829.700000003</v>
      </c>
      <c r="H89" s="1">
        <v>142723338.30000001</v>
      </c>
    </row>
    <row r="90" spans="1:8" x14ac:dyDescent="0.2">
      <c r="A90">
        <v>2023</v>
      </c>
      <c r="B90">
        <v>250</v>
      </c>
      <c r="C90" s="1">
        <v>2068651.15</v>
      </c>
      <c r="E90" s="4">
        <v>323</v>
      </c>
      <c r="F90" s="1">
        <v>2167542.63</v>
      </c>
      <c r="G90" s="1">
        <v>2338171.0699999998</v>
      </c>
      <c r="H90" s="1">
        <v>4505713.6999999993</v>
      </c>
    </row>
    <row r="91" spans="1:8" x14ac:dyDescent="0.2">
      <c r="A91">
        <v>2024</v>
      </c>
      <c r="B91">
        <v>250</v>
      </c>
      <c r="C91" s="1">
        <v>1394623.29</v>
      </c>
      <c r="E91" s="4">
        <v>324</v>
      </c>
      <c r="F91" s="1">
        <v>21910886.800000001</v>
      </c>
      <c r="G91" s="1">
        <v>21820272.120000001</v>
      </c>
      <c r="H91" s="1">
        <v>43731158.920000002</v>
      </c>
    </row>
    <row r="92" spans="1:8" x14ac:dyDescent="0.2">
      <c r="A92">
        <v>2023</v>
      </c>
      <c r="B92">
        <v>251</v>
      </c>
      <c r="C92" s="1">
        <v>696438.81</v>
      </c>
      <c r="E92" s="4">
        <v>325</v>
      </c>
      <c r="F92" s="1">
        <v>1113282.58</v>
      </c>
      <c r="G92" s="1">
        <v>1062183.55</v>
      </c>
      <c r="H92" s="1">
        <v>2175466.13</v>
      </c>
    </row>
    <row r="93" spans="1:8" x14ac:dyDescent="0.2">
      <c r="A93">
        <v>2024</v>
      </c>
      <c r="B93">
        <v>251</v>
      </c>
      <c r="C93" s="1">
        <v>576984.87</v>
      </c>
      <c r="E93" s="4">
        <v>328</v>
      </c>
      <c r="F93" s="1">
        <v>195854.12</v>
      </c>
      <c r="G93" s="1">
        <v>272181.3</v>
      </c>
      <c r="H93" s="1">
        <v>468035.42</v>
      </c>
    </row>
    <row r="94" spans="1:8" x14ac:dyDescent="0.2">
      <c r="A94">
        <v>2023</v>
      </c>
      <c r="B94">
        <v>252</v>
      </c>
      <c r="C94" s="1">
        <v>457182165.07999998</v>
      </c>
      <c r="E94" s="4">
        <v>341</v>
      </c>
      <c r="F94" s="1">
        <v>1829513.22</v>
      </c>
      <c r="G94" s="1">
        <v>1623489.18</v>
      </c>
      <c r="H94" s="1">
        <v>3453002.4</v>
      </c>
    </row>
    <row r="95" spans="1:8" x14ac:dyDescent="0.2">
      <c r="A95">
        <v>2024</v>
      </c>
      <c r="B95">
        <v>252</v>
      </c>
      <c r="C95" s="1">
        <v>474876000.36000001</v>
      </c>
      <c r="E95" s="4">
        <v>342</v>
      </c>
      <c r="F95" s="1">
        <v>18381455.440000001</v>
      </c>
      <c r="G95" s="1">
        <v>22422912.300000001</v>
      </c>
      <c r="H95" s="1">
        <v>40804367.740000002</v>
      </c>
    </row>
    <row r="96" spans="1:8" x14ac:dyDescent="0.2">
      <c r="A96">
        <v>2023</v>
      </c>
      <c r="B96">
        <v>253</v>
      </c>
      <c r="C96" s="1">
        <v>62139216.950000003</v>
      </c>
      <c r="E96" s="4">
        <v>351</v>
      </c>
      <c r="F96" s="1">
        <v>103984578.45999999</v>
      </c>
      <c r="G96" s="1">
        <v>105690152.91</v>
      </c>
      <c r="H96" s="1">
        <v>209674731.37</v>
      </c>
    </row>
    <row r="97" spans="1:8" x14ac:dyDescent="0.2">
      <c r="A97">
        <v>2024</v>
      </c>
      <c r="B97">
        <v>253</v>
      </c>
      <c r="C97" s="1">
        <v>75003518.909999996</v>
      </c>
      <c r="E97" s="4">
        <v>352</v>
      </c>
      <c r="F97" s="1">
        <v>6132119.9299999997</v>
      </c>
      <c r="G97" s="1">
        <v>7190754.4699999997</v>
      </c>
      <c r="H97" s="1">
        <v>13322874.399999999</v>
      </c>
    </row>
    <row r="98" spans="1:8" x14ac:dyDescent="0.2">
      <c r="A98">
        <v>2023</v>
      </c>
      <c r="B98">
        <v>254</v>
      </c>
      <c r="C98" s="1">
        <v>68904433.799999997</v>
      </c>
      <c r="E98" s="4">
        <v>353</v>
      </c>
      <c r="F98" s="1">
        <v>7844442.6399999997</v>
      </c>
      <c r="G98" s="1">
        <v>7720121.6699999999</v>
      </c>
      <c r="H98" s="1">
        <v>15564564.309999999</v>
      </c>
    </row>
    <row r="99" spans="1:8" x14ac:dyDescent="0.2">
      <c r="A99">
        <v>2024</v>
      </c>
      <c r="B99">
        <v>254</v>
      </c>
      <c r="C99" s="1">
        <v>75400950.709999993</v>
      </c>
      <c r="E99" s="4">
        <v>354</v>
      </c>
      <c r="F99" s="1">
        <v>909370232.72000003</v>
      </c>
      <c r="G99" s="1">
        <v>1041777038.9</v>
      </c>
      <c r="H99" s="1">
        <v>1951147271.6199999</v>
      </c>
    </row>
    <row r="100" spans="1:8" x14ac:dyDescent="0.2">
      <c r="A100">
        <v>2023</v>
      </c>
      <c r="B100">
        <v>255</v>
      </c>
      <c r="C100" s="1">
        <v>2551790055.8699999</v>
      </c>
      <c r="E100" s="4">
        <v>355</v>
      </c>
      <c r="F100" s="1">
        <v>58401543.369999997</v>
      </c>
      <c r="G100" s="1">
        <v>71495073.390000001</v>
      </c>
      <c r="H100" s="1">
        <v>129896616.75999999</v>
      </c>
    </row>
    <row r="101" spans="1:8" x14ac:dyDescent="0.2">
      <c r="A101">
        <v>2024</v>
      </c>
      <c r="B101">
        <v>255</v>
      </c>
      <c r="C101" s="1">
        <v>2996133510.98</v>
      </c>
      <c r="E101" s="4">
        <v>371</v>
      </c>
      <c r="F101" s="1">
        <v>3356340.79</v>
      </c>
      <c r="G101" s="1">
        <v>2727179.96</v>
      </c>
      <c r="H101" s="1">
        <v>6083520.75</v>
      </c>
    </row>
    <row r="102" spans="1:8" x14ac:dyDescent="0.2">
      <c r="A102">
        <v>2023</v>
      </c>
      <c r="B102">
        <v>256</v>
      </c>
      <c r="C102" s="1">
        <v>844681.17</v>
      </c>
      <c r="E102" s="4">
        <v>372</v>
      </c>
      <c r="F102" s="1">
        <v>22245254.600000001</v>
      </c>
      <c r="G102" s="1">
        <v>26183682.27</v>
      </c>
      <c r="H102" s="1">
        <v>48428936.870000005</v>
      </c>
    </row>
    <row r="103" spans="1:8" x14ac:dyDescent="0.2">
      <c r="A103">
        <v>2024</v>
      </c>
      <c r="B103">
        <v>256</v>
      </c>
      <c r="C103" s="1">
        <v>1057799.1000000001</v>
      </c>
      <c r="E103" s="4">
        <v>373</v>
      </c>
      <c r="F103" s="1">
        <v>1217773.23</v>
      </c>
      <c r="G103" s="1">
        <v>1626223.29</v>
      </c>
      <c r="H103" s="1">
        <v>2843996.52</v>
      </c>
    </row>
    <row r="104" spans="1:8" x14ac:dyDescent="0.2">
      <c r="A104">
        <v>2023</v>
      </c>
      <c r="B104">
        <v>257</v>
      </c>
      <c r="C104" s="1">
        <v>786425.88</v>
      </c>
      <c r="E104" s="4">
        <v>374</v>
      </c>
      <c r="F104" s="1">
        <v>5969222.5599999996</v>
      </c>
      <c r="G104" s="1">
        <v>5251122.91</v>
      </c>
      <c r="H104" s="1">
        <v>11220345.469999999</v>
      </c>
    </row>
    <row r="105" spans="1:8" x14ac:dyDescent="0.2">
      <c r="A105">
        <v>2024</v>
      </c>
      <c r="B105">
        <v>257</v>
      </c>
      <c r="C105" s="1">
        <v>667704.81999999995</v>
      </c>
      <c r="E105" s="4">
        <v>375</v>
      </c>
      <c r="F105" s="1">
        <v>5928161.79</v>
      </c>
      <c r="G105" s="1">
        <v>5086518.17</v>
      </c>
      <c r="H105" s="1">
        <v>11014679.960000001</v>
      </c>
    </row>
    <row r="106" spans="1:8" x14ac:dyDescent="0.2">
      <c r="A106">
        <v>2023</v>
      </c>
      <c r="B106">
        <v>258</v>
      </c>
      <c r="C106" s="1">
        <v>7745979.0700000003</v>
      </c>
      <c r="E106" s="4">
        <v>376</v>
      </c>
      <c r="F106" s="1">
        <v>11167747.960000001</v>
      </c>
      <c r="G106" s="1">
        <v>7400829.9900000002</v>
      </c>
      <c r="H106" s="1">
        <v>18568577.950000003</v>
      </c>
    </row>
    <row r="107" spans="1:8" x14ac:dyDescent="0.2">
      <c r="A107">
        <v>2024</v>
      </c>
      <c r="B107">
        <v>258</v>
      </c>
      <c r="C107" s="1">
        <v>9405280.8300000001</v>
      </c>
      <c r="E107" s="4">
        <v>377</v>
      </c>
      <c r="F107" s="1">
        <v>14784569.49</v>
      </c>
      <c r="G107" s="1">
        <v>17385570.739999998</v>
      </c>
      <c r="H107" s="1">
        <v>32170140.229999997</v>
      </c>
    </row>
    <row r="108" spans="1:8" x14ac:dyDescent="0.2">
      <c r="A108">
        <v>2023</v>
      </c>
      <c r="B108">
        <v>259</v>
      </c>
      <c r="C108" s="1">
        <v>677635.42</v>
      </c>
      <c r="E108" s="4">
        <v>391</v>
      </c>
      <c r="F108" s="1">
        <v>248689481.38</v>
      </c>
      <c r="G108" s="1">
        <v>261255758.5</v>
      </c>
      <c r="H108" s="1">
        <v>509945239.88</v>
      </c>
    </row>
    <row r="109" spans="1:8" x14ac:dyDescent="0.2">
      <c r="A109">
        <v>2024</v>
      </c>
      <c r="B109">
        <v>259</v>
      </c>
      <c r="C109" s="1">
        <v>771109.12</v>
      </c>
      <c r="E109" s="4">
        <v>410</v>
      </c>
      <c r="F109" s="1">
        <v>400086512.82999998</v>
      </c>
      <c r="G109" s="1">
        <v>447611800.25</v>
      </c>
      <c r="H109" s="1">
        <v>847698313.07999992</v>
      </c>
    </row>
    <row r="110" spans="1:8" x14ac:dyDescent="0.2">
      <c r="A110">
        <v>2023</v>
      </c>
      <c r="B110">
        <v>261</v>
      </c>
      <c r="C110" s="1">
        <v>22257654.23</v>
      </c>
      <c r="E110" s="4">
        <v>420</v>
      </c>
      <c r="F110" s="1">
        <v>168914202.13999999</v>
      </c>
      <c r="G110" s="1">
        <v>174448224.81</v>
      </c>
      <c r="H110" s="1">
        <v>343362426.94999999</v>
      </c>
    </row>
    <row r="111" spans="1:8" x14ac:dyDescent="0.2">
      <c r="A111">
        <v>2024</v>
      </c>
      <c r="B111">
        <v>261</v>
      </c>
      <c r="C111" s="1">
        <v>24097620.050000001</v>
      </c>
      <c r="E111" s="4">
        <v>511</v>
      </c>
      <c r="F111" s="1">
        <v>24466725.460000001</v>
      </c>
      <c r="G111" s="1">
        <v>26505539.280000001</v>
      </c>
      <c r="H111" s="1">
        <v>50972264.740000002</v>
      </c>
    </row>
    <row r="112" spans="1:8" x14ac:dyDescent="0.2">
      <c r="A112">
        <v>2023</v>
      </c>
      <c r="B112">
        <v>263</v>
      </c>
      <c r="C112" s="1">
        <v>89765448.849999994</v>
      </c>
      <c r="E112" s="4">
        <v>512</v>
      </c>
      <c r="F112" s="1">
        <v>91475285.140000001</v>
      </c>
      <c r="G112" s="1">
        <v>99078772.049999997</v>
      </c>
      <c r="H112" s="1">
        <v>190554057.19</v>
      </c>
    </row>
    <row r="113" spans="1:8" x14ac:dyDescent="0.2">
      <c r="A113">
        <v>2024</v>
      </c>
      <c r="B113">
        <v>263</v>
      </c>
      <c r="C113" s="1">
        <v>92134876.269999996</v>
      </c>
      <c r="E113" s="4">
        <v>513</v>
      </c>
      <c r="F113" s="1">
        <v>80229772.739999995</v>
      </c>
      <c r="G113" s="1">
        <v>84833594.700000003</v>
      </c>
      <c r="H113" s="1">
        <v>165063367.44</v>
      </c>
    </row>
    <row r="114" spans="1:8" x14ac:dyDescent="0.2">
      <c r="A114">
        <v>2023</v>
      </c>
      <c r="B114">
        <v>264</v>
      </c>
      <c r="C114" s="1">
        <v>17385533.34</v>
      </c>
      <c r="E114" s="4">
        <v>514</v>
      </c>
      <c r="F114" s="1">
        <v>45213566.049999997</v>
      </c>
      <c r="G114" s="1">
        <v>52561921.780000001</v>
      </c>
      <c r="H114" s="1">
        <v>97775487.829999998</v>
      </c>
    </row>
    <row r="115" spans="1:8" x14ac:dyDescent="0.2">
      <c r="A115">
        <v>2024</v>
      </c>
      <c r="B115">
        <v>264</v>
      </c>
      <c r="C115" s="1">
        <v>20334640.379999999</v>
      </c>
      <c r="E115" s="4">
        <v>515</v>
      </c>
      <c r="F115" s="1">
        <v>152086239.31999999</v>
      </c>
      <c r="G115" s="1">
        <v>163082494.49000001</v>
      </c>
      <c r="H115" s="1">
        <v>315168733.81</v>
      </c>
    </row>
    <row r="116" spans="1:8" x14ac:dyDescent="0.2">
      <c r="A116">
        <v>2023</v>
      </c>
      <c r="B116">
        <v>265</v>
      </c>
      <c r="C116" s="1">
        <v>1477490.09</v>
      </c>
      <c r="E116" s="4">
        <v>516</v>
      </c>
      <c r="F116" s="1">
        <v>450570342.69999999</v>
      </c>
      <c r="G116" s="1">
        <v>452034352.20999998</v>
      </c>
      <c r="H116" s="1">
        <v>902604694.90999997</v>
      </c>
    </row>
    <row r="117" spans="1:8" x14ac:dyDescent="0.2">
      <c r="A117">
        <v>2024</v>
      </c>
      <c r="B117">
        <v>265</v>
      </c>
      <c r="C117" s="1">
        <v>1935511.02</v>
      </c>
      <c r="E117" s="4">
        <v>517</v>
      </c>
      <c r="F117" s="1">
        <v>26538071.620000001</v>
      </c>
      <c r="G117" s="1">
        <v>30350282.09</v>
      </c>
      <c r="H117" s="1">
        <v>56888353.710000001</v>
      </c>
    </row>
    <row r="118" spans="1:8" x14ac:dyDescent="0.2">
      <c r="A118">
        <v>2023</v>
      </c>
      <c r="B118">
        <v>266</v>
      </c>
      <c r="C118" s="1">
        <v>4623374.0999999996</v>
      </c>
      <c r="E118" s="4">
        <v>518</v>
      </c>
      <c r="F118" s="1">
        <v>983208093.91999996</v>
      </c>
      <c r="G118" s="1">
        <v>1004823273.1900001</v>
      </c>
      <c r="H118" s="1">
        <v>1988031367.1100001</v>
      </c>
    </row>
    <row r="119" spans="1:8" x14ac:dyDescent="0.2">
      <c r="A119">
        <v>2024</v>
      </c>
      <c r="B119">
        <v>266</v>
      </c>
      <c r="C119" s="1">
        <v>5073376.71</v>
      </c>
      <c r="E119" s="4">
        <v>519</v>
      </c>
      <c r="F119" s="1">
        <v>1423175556.3900001</v>
      </c>
      <c r="G119" s="1">
        <v>1578442346.1600001</v>
      </c>
      <c r="H119" s="1">
        <v>3001617902.5500002</v>
      </c>
    </row>
    <row r="120" spans="1:8" x14ac:dyDescent="0.2">
      <c r="A120">
        <v>2023</v>
      </c>
      <c r="B120">
        <v>271</v>
      </c>
      <c r="C120" s="1">
        <v>2217556.64</v>
      </c>
      <c r="E120" s="4">
        <v>529</v>
      </c>
      <c r="F120" s="1">
        <v>2535769563.9000001</v>
      </c>
      <c r="G120" s="1">
        <v>2532141584.4499998</v>
      </c>
      <c r="H120" s="1">
        <v>5067911148.3500004</v>
      </c>
    </row>
    <row r="121" spans="1:8" x14ac:dyDescent="0.2">
      <c r="A121">
        <v>2024</v>
      </c>
      <c r="B121">
        <v>271</v>
      </c>
      <c r="C121" s="1">
        <v>1971477.29</v>
      </c>
      <c r="E121" s="4">
        <v>610</v>
      </c>
      <c r="F121" s="1">
        <v>363135412.80000001</v>
      </c>
      <c r="G121" s="1">
        <v>400813092.47000003</v>
      </c>
      <c r="H121" s="1">
        <v>763948505.26999998</v>
      </c>
    </row>
    <row r="122" spans="1:8" x14ac:dyDescent="0.2">
      <c r="A122">
        <v>2023</v>
      </c>
      <c r="B122">
        <v>272</v>
      </c>
      <c r="C122" s="1">
        <v>6234406.8700000001</v>
      </c>
      <c r="E122" s="4">
        <v>620</v>
      </c>
      <c r="F122" s="1">
        <v>94463915.189999998</v>
      </c>
      <c r="G122" s="1">
        <v>138457787.09</v>
      </c>
      <c r="H122" s="1">
        <v>232921702.28</v>
      </c>
    </row>
    <row r="123" spans="1:8" x14ac:dyDescent="0.2">
      <c r="A123">
        <v>2024</v>
      </c>
      <c r="B123">
        <v>272</v>
      </c>
      <c r="C123" s="1">
        <v>5634358.5599999996</v>
      </c>
      <c r="E123" s="4">
        <v>630</v>
      </c>
      <c r="F123" s="1">
        <v>12565746.27</v>
      </c>
      <c r="G123" s="1">
        <v>14335453.880000001</v>
      </c>
      <c r="H123" s="1">
        <v>26901200.149999999</v>
      </c>
    </row>
    <row r="124" spans="1:8" x14ac:dyDescent="0.2">
      <c r="A124">
        <v>2023</v>
      </c>
      <c r="B124">
        <v>273</v>
      </c>
      <c r="C124" s="1">
        <v>14991848.220000001</v>
      </c>
      <c r="E124" s="4">
        <v>640</v>
      </c>
      <c r="F124" s="1">
        <v>21458972</v>
      </c>
      <c r="G124" s="1">
        <v>24282234.780000001</v>
      </c>
      <c r="H124" s="1">
        <v>45741206.780000001</v>
      </c>
    </row>
    <row r="125" spans="1:8" x14ac:dyDescent="0.2">
      <c r="A125">
        <v>2024</v>
      </c>
      <c r="B125">
        <v>273</v>
      </c>
      <c r="C125" s="1">
        <v>13754625.52</v>
      </c>
      <c r="E125" s="4">
        <v>710</v>
      </c>
      <c r="F125" s="1">
        <v>105948055.89</v>
      </c>
      <c r="G125" s="1">
        <v>101074722.06</v>
      </c>
      <c r="H125" s="1">
        <v>207022777.94999999</v>
      </c>
    </row>
    <row r="126" spans="1:8" x14ac:dyDescent="0.2">
      <c r="A126">
        <v>2023</v>
      </c>
      <c r="B126">
        <v>274</v>
      </c>
      <c r="C126" s="1">
        <v>30694305.52</v>
      </c>
      <c r="E126" s="4">
        <v>720</v>
      </c>
      <c r="F126" s="1">
        <v>21918287.260000002</v>
      </c>
      <c r="G126" s="1">
        <v>24149985.420000002</v>
      </c>
      <c r="H126" s="1">
        <v>46068272.680000007</v>
      </c>
    </row>
    <row r="127" spans="1:8" x14ac:dyDescent="0.2">
      <c r="A127">
        <v>2024</v>
      </c>
      <c r="B127">
        <v>274</v>
      </c>
      <c r="C127" s="1">
        <v>32467815.789999999</v>
      </c>
      <c r="E127" s="4">
        <v>730</v>
      </c>
      <c r="F127" s="1">
        <v>6713360.8200000003</v>
      </c>
      <c r="G127" s="1">
        <v>7938657.2599999998</v>
      </c>
      <c r="H127" s="1">
        <v>14652018.08</v>
      </c>
    </row>
    <row r="128" spans="1:8" x14ac:dyDescent="0.2">
      <c r="A128">
        <v>2023</v>
      </c>
      <c r="B128">
        <v>275</v>
      </c>
      <c r="C128" s="1">
        <v>39436935.950000003</v>
      </c>
      <c r="E128" s="4">
        <v>740</v>
      </c>
      <c r="F128" s="1">
        <v>1044279.88</v>
      </c>
      <c r="G128" s="1">
        <v>595409.99</v>
      </c>
      <c r="H128" s="1">
        <v>1639689.87</v>
      </c>
    </row>
    <row r="129" spans="1:8" x14ac:dyDescent="0.2">
      <c r="A129">
        <v>2024</v>
      </c>
      <c r="B129">
        <v>275</v>
      </c>
      <c r="C129" s="1">
        <v>44852642.030000001</v>
      </c>
      <c r="E129" s="4">
        <v>750</v>
      </c>
      <c r="F129" s="1">
        <v>6560439.0899999999</v>
      </c>
      <c r="G129" s="1">
        <v>6338728.9800000004</v>
      </c>
      <c r="H129" s="1">
        <v>12899168.07</v>
      </c>
    </row>
    <row r="130" spans="1:8" x14ac:dyDescent="0.2">
      <c r="A130">
        <v>2023</v>
      </c>
      <c r="B130">
        <v>276</v>
      </c>
      <c r="C130" s="1">
        <v>7599089.5999999996</v>
      </c>
      <c r="E130" s="4">
        <v>760</v>
      </c>
      <c r="F130" s="1">
        <v>55085948.719999999</v>
      </c>
      <c r="G130" s="1">
        <v>70394343.069999993</v>
      </c>
      <c r="H130" s="1">
        <v>125480291.78999999</v>
      </c>
    </row>
    <row r="131" spans="1:8" x14ac:dyDescent="0.2">
      <c r="A131">
        <v>2024</v>
      </c>
      <c r="B131">
        <v>276</v>
      </c>
      <c r="C131" s="1">
        <v>6887154.1699999999</v>
      </c>
      <c r="E131" s="4">
        <v>770</v>
      </c>
      <c r="F131" s="1">
        <v>25862164.449999999</v>
      </c>
      <c r="G131" s="1">
        <v>25988716.84</v>
      </c>
      <c r="H131" s="1">
        <v>51850881.289999999</v>
      </c>
    </row>
    <row r="132" spans="1:8" x14ac:dyDescent="0.2">
      <c r="A132">
        <v>2023</v>
      </c>
      <c r="B132">
        <v>277</v>
      </c>
      <c r="C132" s="1">
        <v>17159200.41</v>
      </c>
      <c r="E132" s="4">
        <v>780</v>
      </c>
      <c r="F132" s="1">
        <v>25786898.550000001</v>
      </c>
      <c r="G132" s="1">
        <v>22407731.18</v>
      </c>
      <c r="H132" s="1">
        <v>48194629.730000004</v>
      </c>
    </row>
    <row r="133" spans="1:8" x14ac:dyDescent="0.2">
      <c r="A133">
        <v>2024</v>
      </c>
      <c r="B133">
        <v>277</v>
      </c>
      <c r="C133" s="1">
        <v>17683467.399999999</v>
      </c>
      <c r="E133" s="4">
        <v>810</v>
      </c>
      <c r="F133" s="1">
        <v>11251710.060000001</v>
      </c>
      <c r="G133" s="1">
        <v>12092149.76</v>
      </c>
      <c r="H133" s="1">
        <v>23343859.82</v>
      </c>
    </row>
    <row r="134" spans="1:8" x14ac:dyDescent="0.2">
      <c r="A134">
        <v>2023</v>
      </c>
      <c r="B134">
        <v>279</v>
      </c>
      <c r="C134" s="1">
        <v>24282928.59</v>
      </c>
      <c r="E134" s="4">
        <v>820</v>
      </c>
      <c r="F134" s="1">
        <v>6019763.1900000004</v>
      </c>
      <c r="G134" s="1">
        <v>6670343.6600000001</v>
      </c>
      <c r="H134" s="1">
        <v>12690106.850000001</v>
      </c>
    </row>
    <row r="135" spans="1:8" x14ac:dyDescent="0.2">
      <c r="A135">
        <v>2024</v>
      </c>
      <c r="B135">
        <v>279</v>
      </c>
      <c r="C135" s="1">
        <v>23344067.010000002</v>
      </c>
      <c r="E135" s="4">
        <v>830</v>
      </c>
      <c r="F135" s="1">
        <v>1659114.89</v>
      </c>
      <c r="G135" s="1">
        <v>2181170.14</v>
      </c>
      <c r="H135" s="1">
        <v>3840285.0300000003</v>
      </c>
    </row>
    <row r="136" spans="1:8" x14ac:dyDescent="0.2">
      <c r="A136">
        <v>2023</v>
      </c>
      <c r="B136">
        <v>290</v>
      </c>
      <c r="C136" s="1">
        <v>39862660.390000001</v>
      </c>
      <c r="E136" s="4">
        <v>840</v>
      </c>
      <c r="F136" s="1">
        <v>19730130.870000001</v>
      </c>
      <c r="G136" s="1">
        <v>22312773.25</v>
      </c>
      <c r="H136" s="1">
        <v>42042904.120000005</v>
      </c>
    </row>
    <row r="137" spans="1:8" x14ac:dyDescent="0.2">
      <c r="A137">
        <v>2024</v>
      </c>
      <c r="B137">
        <v>290</v>
      </c>
      <c r="C137" s="1">
        <v>42935523.460000001</v>
      </c>
      <c r="E137" s="4">
        <v>860</v>
      </c>
      <c r="F137" s="1">
        <v>4019159.11</v>
      </c>
      <c r="G137" s="1">
        <v>5303620.41</v>
      </c>
      <c r="H137" s="1">
        <v>9322779.5199999996</v>
      </c>
    </row>
    <row r="138" spans="1:8" x14ac:dyDescent="0.2">
      <c r="A138">
        <v>2023</v>
      </c>
      <c r="B138">
        <v>291</v>
      </c>
      <c r="C138" s="1">
        <v>59477446.219999999</v>
      </c>
      <c r="E138" s="4">
        <v>870</v>
      </c>
      <c r="F138" s="1">
        <v>4640733.12</v>
      </c>
      <c r="G138" s="1">
        <v>5771105.9400000004</v>
      </c>
      <c r="H138" s="1">
        <v>10411839.060000001</v>
      </c>
    </row>
    <row r="139" spans="1:8" x14ac:dyDescent="0.2">
      <c r="A139">
        <v>2024</v>
      </c>
      <c r="B139">
        <v>291</v>
      </c>
      <c r="C139" s="1">
        <v>63070843.359999999</v>
      </c>
      <c r="E139" s="4">
        <v>900</v>
      </c>
      <c r="F139" s="1">
        <v>336603038.24000001</v>
      </c>
      <c r="G139" s="1">
        <v>329064247.75999999</v>
      </c>
      <c r="H139" s="1">
        <v>665667286</v>
      </c>
    </row>
    <row r="140" spans="1:8" x14ac:dyDescent="0.2">
      <c r="A140">
        <v>2023</v>
      </c>
      <c r="B140">
        <v>292</v>
      </c>
      <c r="C140" s="1">
        <v>43797264.189999998</v>
      </c>
      <c r="E140" s="4" t="s">
        <v>0</v>
      </c>
      <c r="F140" s="1">
        <v>3389853511.4899998</v>
      </c>
      <c r="G140" s="1">
        <v>3671736591.77</v>
      </c>
      <c r="H140" s="1">
        <v>7061590103.2600002</v>
      </c>
    </row>
    <row r="141" spans="1:8" x14ac:dyDescent="0.2">
      <c r="A141">
        <v>2024</v>
      </c>
      <c r="B141">
        <v>292</v>
      </c>
      <c r="C141" s="1">
        <v>43625567.030000001</v>
      </c>
      <c r="E141" s="4" t="s">
        <v>5</v>
      </c>
      <c r="F141" s="1">
        <v>75404564263.229996</v>
      </c>
      <c r="G141" s="1">
        <v>82363429173.460007</v>
      </c>
      <c r="H141" s="1">
        <v>157767993436.68997</v>
      </c>
    </row>
    <row r="142" spans="1:8" x14ac:dyDescent="0.2">
      <c r="A142">
        <v>2023</v>
      </c>
      <c r="B142">
        <v>293</v>
      </c>
      <c r="C142" s="1">
        <v>17297598.219999999</v>
      </c>
    </row>
    <row r="143" spans="1:8" x14ac:dyDescent="0.2">
      <c r="A143">
        <v>2024</v>
      </c>
      <c r="B143">
        <v>293</v>
      </c>
      <c r="C143" s="1">
        <v>17904564.399999999</v>
      </c>
    </row>
    <row r="144" spans="1:8" x14ac:dyDescent="0.2">
      <c r="A144">
        <v>2023</v>
      </c>
      <c r="B144">
        <v>294</v>
      </c>
      <c r="C144" s="1">
        <v>127216286.97</v>
      </c>
    </row>
    <row r="145" spans="1:3" x14ac:dyDescent="0.2">
      <c r="A145">
        <v>2024</v>
      </c>
      <c r="B145">
        <v>294</v>
      </c>
      <c r="C145" s="1">
        <v>131781992.93000001</v>
      </c>
    </row>
    <row r="146" spans="1:3" x14ac:dyDescent="0.2">
      <c r="A146">
        <v>2023</v>
      </c>
      <c r="B146">
        <v>295</v>
      </c>
      <c r="C146" s="1">
        <v>126650239.38</v>
      </c>
    </row>
    <row r="147" spans="1:3" x14ac:dyDescent="0.2">
      <c r="A147">
        <v>2024</v>
      </c>
      <c r="B147">
        <v>295</v>
      </c>
      <c r="C147" s="1">
        <v>133359031.66</v>
      </c>
    </row>
    <row r="148" spans="1:3" x14ac:dyDescent="0.2">
      <c r="A148">
        <v>2023</v>
      </c>
      <c r="B148">
        <v>296</v>
      </c>
      <c r="C148" s="1">
        <v>49090403.710000001</v>
      </c>
    </row>
    <row r="149" spans="1:3" x14ac:dyDescent="0.2">
      <c r="A149">
        <v>2024</v>
      </c>
      <c r="B149">
        <v>296</v>
      </c>
      <c r="C149" s="1">
        <v>53451643.219999999</v>
      </c>
    </row>
    <row r="150" spans="1:3" x14ac:dyDescent="0.2">
      <c r="A150">
        <v>2023</v>
      </c>
      <c r="B150">
        <v>311</v>
      </c>
      <c r="C150" s="1">
        <v>2311622.9900000002</v>
      </c>
    </row>
    <row r="151" spans="1:3" x14ac:dyDescent="0.2">
      <c r="A151">
        <v>2024</v>
      </c>
      <c r="B151">
        <v>311</v>
      </c>
      <c r="C151" s="1">
        <v>2938999.77</v>
      </c>
    </row>
    <row r="152" spans="1:3" x14ac:dyDescent="0.2">
      <c r="A152">
        <v>2023</v>
      </c>
      <c r="B152">
        <v>312</v>
      </c>
      <c r="C152" s="1">
        <v>34183643.729999997</v>
      </c>
    </row>
    <row r="153" spans="1:3" x14ac:dyDescent="0.2">
      <c r="A153">
        <v>2024</v>
      </c>
      <c r="B153">
        <v>312</v>
      </c>
      <c r="C153" s="1">
        <v>37061481.109999999</v>
      </c>
    </row>
    <row r="154" spans="1:3" x14ac:dyDescent="0.2">
      <c r="A154">
        <v>2023</v>
      </c>
      <c r="B154">
        <v>313</v>
      </c>
      <c r="C154" s="1">
        <v>17712122.350000001</v>
      </c>
    </row>
    <row r="155" spans="1:3" x14ac:dyDescent="0.2">
      <c r="A155">
        <v>2024</v>
      </c>
      <c r="B155">
        <v>313</v>
      </c>
      <c r="C155" s="1">
        <v>19243579.559999999</v>
      </c>
    </row>
    <row r="156" spans="1:3" x14ac:dyDescent="0.2">
      <c r="A156">
        <v>2023</v>
      </c>
      <c r="B156">
        <v>314</v>
      </c>
      <c r="C156" s="1">
        <v>4923434.3899999997</v>
      </c>
    </row>
    <row r="157" spans="1:3" x14ac:dyDescent="0.2">
      <c r="A157">
        <v>2024</v>
      </c>
      <c r="B157">
        <v>314</v>
      </c>
      <c r="C157" s="1">
        <v>6776608.4400000004</v>
      </c>
    </row>
    <row r="158" spans="1:3" x14ac:dyDescent="0.2">
      <c r="A158">
        <v>2023</v>
      </c>
      <c r="B158">
        <v>316</v>
      </c>
      <c r="C158" s="1">
        <v>1236817.01</v>
      </c>
    </row>
    <row r="159" spans="1:3" x14ac:dyDescent="0.2">
      <c r="A159">
        <v>2024</v>
      </c>
      <c r="B159">
        <v>316</v>
      </c>
      <c r="C159" s="1">
        <v>949554.1</v>
      </c>
    </row>
    <row r="160" spans="1:3" x14ac:dyDescent="0.2">
      <c r="A160">
        <v>2023</v>
      </c>
      <c r="B160">
        <v>317</v>
      </c>
      <c r="C160" s="1">
        <v>36089469.68</v>
      </c>
    </row>
    <row r="161" spans="1:3" x14ac:dyDescent="0.2">
      <c r="A161">
        <v>2024</v>
      </c>
      <c r="B161">
        <v>317</v>
      </c>
      <c r="C161" s="1">
        <v>39208288.009999998</v>
      </c>
    </row>
    <row r="162" spans="1:3" x14ac:dyDescent="0.2">
      <c r="A162">
        <v>2023</v>
      </c>
      <c r="B162">
        <v>318</v>
      </c>
      <c r="C162" s="1">
        <v>5716513.71</v>
      </c>
    </row>
    <row r="163" spans="1:3" x14ac:dyDescent="0.2">
      <c r="A163">
        <v>2024</v>
      </c>
      <c r="B163">
        <v>318</v>
      </c>
      <c r="C163" s="1">
        <v>5860498.0099999998</v>
      </c>
    </row>
    <row r="164" spans="1:3" x14ac:dyDescent="0.2">
      <c r="A164">
        <v>2023</v>
      </c>
      <c r="B164">
        <v>319</v>
      </c>
      <c r="C164" s="1">
        <v>23637950.5</v>
      </c>
    </row>
    <row r="165" spans="1:3" x14ac:dyDescent="0.2">
      <c r="A165">
        <v>2024</v>
      </c>
      <c r="B165">
        <v>319</v>
      </c>
      <c r="C165" s="1">
        <v>26426348.899999999</v>
      </c>
    </row>
    <row r="166" spans="1:3" x14ac:dyDescent="0.2">
      <c r="A166">
        <v>2023</v>
      </c>
      <c r="B166">
        <v>320</v>
      </c>
      <c r="C166" s="1">
        <v>608342.32999999996</v>
      </c>
    </row>
    <row r="167" spans="1:3" x14ac:dyDescent="0.2">
      <c r="A167">
        <v>2024</v>
      </c>
      <c r="B167">
        <v>320</v>
      </c>
      <c r="C167" s="1">
        <v>254220.25</v>
      </c>
    </row>
    <row r="168" spans="1:3" x14ac:dyDescent="0.2">
      <c r="A168">
        <v>2023</v>
      </c>
      <c r="B168">
        <v>321</v>
      </c>
      <c r="C168" s="1">
        <v>6104697.5899999999</v>
      </c>
    </row>
    <row r="169" spans="1:3" x14ac:dyDescent="0.2">
      <c r="A169">
        <v>2024</v>
      </c>
      <c r="B169">
        <v>321</v>
      </c>
      <c r="C169" s="1">
        <v>5390125.2599999998</v>
      </c>
    </row>
    <row r="170" spans="1:3" x14ac:dyDescent="0.2">
      <c r="A170">
        <v>2023</v>
      </c>
      <c r="B170">
        <v>322</v>
      </c>
      <c r="C170" s="1">
        <v>70226508.599999994</v>
      </c>
    </row>
    <row r="171" spans="1:3" x14ac:dyDescent="0.2">
      <c r="A171">
        <v>2024</v>
      </c>
      <c r="B171">
        <v>322</v>
      </c>
      <c r="C171" s="1">
        <v>72496829.700000003</v>
      </c>
    </row>
    <row r="172" spans="1:3" x14ac:dyDescent="0.2">
      <c r="A172">
        <v>2023</v>
      </c>
      <c r="B172">
        <v>323</v>
      </c>
      <c r="C172" s="1">
        <v>2167542.63</v>
      </c>
    </row>
    <row r="173" spans="1:3" x14ac:dyDescent="0.2">
      <c r="A173">
        <v>2024</v>
      </c>
      <c r="B173">
        <v>323</v>
      </c>
      <c r="C173" s="1">
        <v>2338171.0699999998</v>
      </c>
    </row>
    <row r="174" spans="1:3" x14ac:dyDescent="0.2">
      <c r="A174">
        <v>2023</v>
      </c>
      <c r="B174">
        <v>324</v>
      </c>
      <c r="C174" s="1">
        <v>21910886.800000001</v>
      </c>
    </row>
    <row r="175" spans="1:3" x14ac:dyDescent="0.2">
      <c r="A175">
        <v>2024</v>
      </c>
      <c r="B175">
        <v>324</v>
      </c>
      <c r="C175" s="1">
        <v>21820272.120000001</v>
      </c>
    </row>
    <row r="176" spans="1:3" x14ac:dyDescent="0.2">
      <c r="A176">
        <v>2023</v>
      </c>
      <c r="B176">
        <v>325</v>
      </c>
      <c r="C176" s="1">
        <v>1113282.58</v>
      </c>
    </row>
    <row r="177" spans="1:3" x14ac:dyDescent="0.2">
      <c r="A177">
        <v>2024</v>
      </c>
      <c r="B177">
        <v>325</v>
      </c>
      <c r="C177" s="1">
        <v>1062183.55</v>
      </c>
    </row>
    <row r="178" spans="1:3" x14ac:dyDescent="0.2">
      <c r="A178">
        <v>2023</v>
      </c>
      <c r="B178">
        <v>328</v>
      </c>
      <c r="C178" s="1">
        <v>195854.12</v>
      </c>
    </row>
    <row r="179" spans="1:3" x14ac:dyDescent="0.2">
      <c r="A179">
        <v>2024</v>
      </c>
      <c r="B179">
        <v>328</v>
      </c>
      <c r="C179" s="1">
        <v>272181.3</v>
      </c>
    </row>
    <row r="180" spans="1:3" x14ac:dyDescent="0.2">
      <c r="A180">
        <v>2023</v>
      </c>
      <c r="B180">
        <v>341</v>
      </c>
      <c r="C180" s="1">
        <v>1829513.22</v>
      </c>
    </row>
    <row r="181" spans="1:3" x14ac:dyDescent="0.2">
      <c r="A181">
        <v>2024</v>
      </c>
      <c r="B181">
        <v>341</v>
      </c>
      <c r="C181" s="1">
        <v>1623489.18</v>
      </c>
    </row>
    <row r="182" spans="1:3" x14ac:dyDescent="0.2">
      <c r="A182">
        <v>2023</v>
      </c>
      <c r="B182">
        <v>342</v>
      </c>
      <c r="C182" s="1">
        <v>18381455.440000001</v>
      </c>
    </row>
    <row r="183" spans="1:3" x14ac:dyDescent="0.2">
      <c r="A183">
        <v>2024</v>
      </c>
      <c r="B183">
        <v>342</v>
      </c>
      <c r="C183" s="1">
        <v>22422912.300000001</v>
      </c>
    </row>
    <row r="184" spans="1:3" x14ac:dyDescent="0.2">
      <c r="A184">
        <v>2023</v>
      </c>
      <c r="B184">
        <v>351</v>
      </c>
      <c r="C184" s="1">
        <v>103984578.45999999</v>
      </c>
    </row>
    <row r="185" spans="1:3" x14ac:dyDescent="0.2">
      <c r="A185">
        <v>2024</v>
      </c>
      <c r="B185">
        <v>351</v>
      </c>
      <c r="C185" s="1">
        <v>105690152.91</v>
      </c>
    </row>
    <row r="186" spans="1:3" x14ac:dyDescent="0.2">
      <c r="A186">
        <v>2023</v>
      </c>
      <c r="B186">
        <v>352</v>
      </c>
      <c r="C186" s="1">
        <v>6132119.9299999997</v>
      </c>
    </row>
    <row r="187" spans="1:3" x14ac:dyDescent="0.2">
      <c r="A187">
        <v>2024</v>
      </c>
      <c r="B187">
        <v>352</v>
      </c>
      <c r="C187" s="1">
        <v>7190754.4699999997</v>
      </c>
    </row>
    <row r="188" spans="1:3" x14ac:dyDescent="0.2">
      <c r="A188">
        <v>2023</v>
      </c>
      <c r="B188">
        <v>353</v>
      </c>
      <c r="C188" s="1">
        <v>7844442.6399999997</v>
      </c>
    </row>
    <row r="189" spans="1:3" x14ac:dyDescent="0.2">
      <c r="A189">
        <v>2024</v>
      </c>
      <c r="B189">
        <v>353</v>
      </c>
      <c r="C189" s="1">
        <v>7720121.6699999999</v>
      </c>
    </row>
    <row r="190" spans="1:3" x14ac:dyDescent="0.2">
      <c r="A190">
        <v>2023</v>
      </c>
      <c r="B190">
        <v>354</v>
      </c>
      <c r="C190" s="1">
        <v>909370232.72000003</v>
      </c>
    </row>
    <row r="191" spans="1:3" x14ac:dyDescent="0.2">
      <c r="A191">
        <v>2024</v>
      </c>
      <c r="B191">
        <v>354</v>
      </c>
      <c r="C191" s="1">
        <v>1041777038.9</v>
      </c>
    </row>
    <row r="192" spans="1:3" x14ac:dyDescent="0.2">
      <c r="A192">
        <v>2023</v>
      </c>
      <c r="B192">
        <v>355</v>
      </c>
      <c r="C192" s="1">
        <v>58401543.369999997</v>
      </c>
    </row>
    <row r="193" spans="1:3" x14ac:dyDescent="0.2">
      <c r="A193">
        <v>2024</v>
      </c>
      <c r="B193">
        <v>355</v>
      </c>
      <c r="C193" s="1">
        <v>71495073.390000001</v>
      </c>
    </row>
    <row r="194" spans="1:3" x14ac:dyDescent="0.2">
      <c r="A194">
        <v>2023</v>
      </c>
      <c r="B194">
        <v>371</v>
      </c>
      <c r="C194" s="1">
        <v>3356340.79</v>
      </c>
    </row>
    <row r="195" spans="1:3" x14ac:dyDescent="0.2">
      <c r="A195">
        <v>2024</v>
      </c>
      <c r="B195">
        <v>371</v>
      </c>
      <c r="C195" s="1">
        <v>2727179.96</v>
      </c>
    </row>
    <row r="196" spans="1:3" x14ac:dyDescent="0.2">
      <c r="A196">
        <v>2023</v>
      </c>
      <c r="B196">
        <v>372</v>
      </c>
      <c r="C196" s="1">
        <v>22245254.600000001</v>
      </c>
    </row>
    <row r="197" spans="1:3" x14ac:dyDescent="0.2">
      <c r="A197">
        <v>2024</v>
      </c>
      <c r="B197">
        <v>372</v>
      </c>
      <c r="C197" s="1">
        <v>26183682.27</v>
      </c>
    </row>
    <row r="198" spans="1:3" x14ac:dyDescent="0.2">
      <c r="A198">
        <v>2023</v>
      </c>
      <c r="B198">
        <v>373</v>
      </c>
      <c r="C198" s="1">
        <v>1217773.23</v>
      </c>
    </row>
    <row r="199" spans="1:3" x14ac:dyDescent="0.2">
      <c r="A199">
        <v>2024</v>
      </c>
      <c r="B199">
        <v>373</v>
      </c>
      <c r="C199" s="1">
        <v>1626223.29</v>
      </c>
    </row>
    <row r="200" spans="1:3" x14ac:dyDescent="0.2">
      <c r="A200">
        <v>2023</v>
      </c>
      <c r="B200">
        <v>374</v>
      </c>
      <c r="C200" s="1">
        <v>5969222.5599999996</v>
      </c>
    </row>
    <row r="201" spans="1:3" x14ac:dyDescent="0.2">
      <c r="A201">
        <v>2024</v>
      </c>
      <c r="B201">
        <v>374</v>
      </c>
      <c r="C201" s="1">
        <v>5251122.91</v>
      </c>
    </row>
    <row r="202" spans="1:3" x14ac:dyDescent="0.2">
      <c r="A202">
        <v>2023</v>
      </c>
      <c r="B202">
        <v>375</v>
      </c>
      <c r="C202" s="1">
        <v>5928161.79</v>
      </c>
    </row>
    <row r="203" spans="1:3" x14ac:dyDescent="0.2">
      <c r="A203">
        <v>2024</v>
      </c>
      <c r="B203">
        <v>375</v>
      </c>
      <c r="C203" s="1">
        <v>5086518.17</v>
      </c>
    </row>
    <row r="204" spans="1:3" x14ac:dyDescent="0.2">
      <c r="A204">
        <v>2023</v>
      </c>
      <c r="B204">
        <v>376</v>
      </c>
      <c r="C204" s="1">
        <v>11167747.960000001</v>
      </c>
    </row>
    <row r="205" spans="1:3" x14ac:dyDescent="0.2">
      <c r="A205">
        <v>2024</v>
      </c>
      <c r="B205">
        <v>376</v>
      </c>
      <c r="C205" s="1">
        <v>7400829.9900000002</v>
      </c>
    </row>
    <row r="206" spans="1:3" x14ac:dyDescent="0.2">
      <c r="A206">
        <v>2023</v>
      </c>
      <c r="B206">
        <v>377</v>
      </c>
      <c r="C206" s="1">
        <v>14784569.49</v>
      </c>
    </row>
    <row r="207" spans="1:3" x14ac:dyDescent="0.2">
      <c r="A207">
        <v>2024</v>
      </c>
      <c r="B207">
        <v>377</v>
      </c>
      <c r="C207" s="1">
        <v>17385570.739999998</v>
      </c>
    </row>
    <row r="208" spans="1:3" x14ac:dyDescent="0.2">
      <c r="A208">
        <v>2023</v>
      </c>
      <c r="B208">
        <v>391</v>
      </c>
      <c r="C208" s="1">
        <v>248689481.38</v>
      </c>
    </row>
    <row r="209" spans="1:3" x14ac:dyDescent="0.2">
      <c r="A209">
        <v>2024</v>
      </c>
      <c r="B209">
        <v>391</v>
      </c>
      <c r="C209" s="1">
        <v>261255758.5</v>
      </c>
    </row>
    <row r="210" spans="1:3" x14ac:dyDescent="0.2">
      <c r="A210">
        <v>2023</v>
      </c>
      <c r="B210">
        <v>410</v>
      </c>
      <c r="C210" s="1">
        <v>400086512.82999998</v>
      </c>
    </row>
    <row r="211" spans="1:3" x14ac:dyDescent="0.2">
      <c r="A211">
        <v>2024</v>
      </c>
      <c r="B211">
        <v>410</v>
      </c>
      <c r="C211" s="1">
        <v>447611800.25</v>
      </c>
    </row>
    <row r="212" spans="1:3" x14ac:dyDescent="0.2">
      <c r="A212">
        <v>2023</v>
      </c>
      <c r="B212">
        <v>420</v>
      </c>
      <c r="C212" s="1">
        <v>168914202.13999999</v>
      </c>
    </row>
    <row r="213" spans="1:3" x14ac:dyDescent="0.2">
      <c r="A213">
        <v>2024</v>
      </c>
      <c r="B213">
        <v>420</v>
      </c>
      <c r="C213" s="1">
        <v>174448224.81</v>
      </c>
    </row>
    <row r="214" spans="1:3" x14ac:dyDescent="0.2">
      <c r="A214">
        <v>2023</v>
      </c>
      <c r="B214">
        <v>511</v>
      </c>
      <c r="C214" s="1">
        <v>24466725.460000001</v>
      </c>
    </row>
    <row r="215" spans="1:3" x14ac:dyDescent="0.2">
      <c r="A215">
        <v>2024</v>
      </c>
      <c r="B215">
        <v>511</v>
      </c>
      <c r="C215" s="1">
        <v>26505539.280000001</v>
      </c>
    </row>
    <row r="216" spans="1:3" x14ac:dyDescent="0.2">
      <c r="A216">
        <v>2023</v>
      </c>
      <c r="B216">
        <v>512</v>
      </c>
      <c r="C216" s="1">
        <v>91475285.140000001</v>
      </c>
    </row>
    <row r="217" spans="1:3" x14ac:dyDescent="0.2">
      <c r="A217">
        <v>2024</v>
      </c>
      <c r="B217">
        <v>512</v>
      </c>
      <c r="C217" s="1">
        <v>99078772.049999997</v>
      </c>
    </row>
    <row r="218" spans="1:3" x14ac:dyDescent="0.2">
      <c r="A218">
        <v>2023</v>
      </c>
      <c r="B218">
        <v>513</v>
      </c>
      <c r="C218" s="1">
        <v>80229772.739999995</v>
      </c>
    </row>
    <row r="219" spans="1:3" x14ac:dyDescent="0.2">
      <c r="A219">
        <v>2024</v>
      </c>
      <c r="B219">
        <v>513</v>
      </c>
      <c r="C219" s="1">
        <v>84833594.700000003</v>
      </c>
    </row>
    <row r="220" spans="1:3" x14ac:dyDescent="0.2">
      <c r="A220">
        <v>2023</v>
      </c>
      <c r="B220">
        <v>514</v>
      </c>
      <c r="C220" s="1">
        <v>45213566.049999997</v>
      </c>
    </row>
    <row r="221" spans="1:3" x14ac:dyDescent="0.2">
      <c r="A221">
        <v>2024</v>
      </c>
      <c r="B221">
        <v>514</v>
      </c>
      <c r="C221" s="1">
        <v>52561921.780000001</v>
      </c>
    </row>
    <row r="222" spans="1:3" x14ac:dyDescent="0.2">
      <c r="A222">
        <v>2023</v>
      </c>
      <c r="B222">
        <v>515</v>
      </c>
      <c r="C222" s="1">
        <v>152086239.31999999</v>
      </c>
    </row>
    <row r="223" spans="1:3" x14ac:dyDescent="0.2">
      <c r="A223">
        <v>2024</v>
      </c>
      <c r="B223">
        <v>515</v>
      </c>
      <c r="C223" s="1">
        <v>163082494.49000001</v>
      </c>
    </row>
    <row r="224" spans="1:3" x14ac:dyDescent="0.2">
      <c r="A224">
        <v>2023</v>
      </c>
      <c r="B224">
        <v>516</v>
      </c>
      <c r="C224" s="1">
        <v>450570342.69999999</v>
      </c>
    </row>
    <row r="225" spans="1:3" x14ac:dyDescent="0.2">
      <c r="A225">
        <v>2024</v>
      </c>
      <c r="B225">
        <v>516</v>
      </c>
      <c r="C225" s="1">
        <v>452034352.20999998</v>
      </c>
    </row>
    <row r="226" spans="1:3" x14ac:dyDescent="0.2">
      <c r="A226">
        <v>2023</v>
      </c>
      <c r="B226">
        <v>517</v>
      </c>
      <c r="C226" s="1">
        <v>26538071.620000001</v>
      </c>
    </row>
    <row r="227" spans="1:3" x14ac:dyDescent="0.2">
      <c r="A227">
        <v>2024</v>
      </c>
      <c r="B227">
        <v>517</v>
      </c>
      <c r="C227" s="1">
        <v>30350282.09</v>
      </c>
    </row>
    <row r="228" spans="1:3" x14ac:dyDescent="0.2">
      <c r="A228">
        <v>2023</v>
      </c>
      <c r="B228">
        <v>518</v>
      </c>
      <c r="C228" s="1">
        <v>983208093.91999996</v>
      </c>
    </row>
    <row r="229" spans="1:3" x14ac:dyDescent="0.2">
      <c r="A229">
        <v>2024</v>
      </c>
      <c r="B229">
        <v>518</v>
      </c>
      <c r="C229" s="1">
        <v>1004823273.1900001</v>
      </c>
    </row>
    <row r="230" spans="1:3" x14ac:dyDescent="0.2">
      <c r="A230">
        <v>2023</v>
      </c>
      <c r="B230">
        <v>519</v>
      </c>
      <c r="C230" s="1">
        <v>1423175556.3900001</v>
      </c>
    </row>
    <row r="231" spans="1:3" x14ac:dyDescent="0.2">
      <c r="A231">
        <v>2024</v>
      </c>
      <c r="B231">
        <v>519</v>
      </c>
      <c r="C231" s="1">
        <v>1578442346.1600001</v>
      </c>
    </row>
    <row r="232" spans="1:3" x14ac:dyDescent="0.2">
      <c r="A232">
        <v>2023</v>
      </c>
      <c r="B232">
        <v>529</v>
      </c>
      <c r="C232" s="1">
        <v>2535769563.9000001</v>
      </c>
    </row>
    <row r="233" spans="1:3" x14ac:dyDescent="0.2">
      <c r="A233">
        <v>2024</v>
      </c>
      <c r="B233">
        <v>529</v>
      </c>
      <c r="C233" s="1">
        <v>2532141584.4499998</v>
      </c>
    </row>
    <row r="234" spans="1:3" x14ac:dyDescent="0.2">
      <c r="A234">
        <v>2023</v>
      </c>
      <c r="B234">
        <v>610</v>
      </c>
      <c r="C234" s="1">
        <v>363135412.80000001</v>
      </c>
    </row>
    <row r="235" spans="1:3" x14ac:dyDescent="0.2">
      <c r="A235">
        <v>2024</v>
      </c>
      <c r="B235">
        <v>610</v>
      </c>
      <c r="C235" s="1">
        <v>400813092.47000003</v>
      </c>
    </row>
    <row r="236" spans="1:3" x14ac:dyDescent="0.2">
      <c r="A236">
        <v>2023</v>
      </c>
      <c r="B236">
        <v>620</v>
      </c>
      <c r="C236" s="1">
        <v>94463915.189999998</v>
      </c>
    </row>
    <row r="237" spans="1:3" x14ac:dyDescent="0.2">
      <c r="A237">
        <v>2024</v>
      </c>
      <c r="B237">
        <v>620</v>
      </c>
      <c r="C237" s="1">
        <v>138457787.09</v>
      </c>
    </row>
    <row r="238" spans="1:3" x14ac:dyDescent="0.2">
      <c r="A238">
        <v>2023</v>
      </c>
      <c r="B238">
        <v>630</v>
      </c>
      <c r="C238" s="1">
        <v>12565746.27</v>
      </c>
    </row>
    <row r="239" spans="1:3" x14ac:dyDescent="0.2">
      <c r="A239">
        <v>2024</v>
      </c>
      <c r="B239">
        <v>630</v>
      </c>
      <c r="C239" s="1">
        <v>14335453.880000001</v>
      </c>
    </row>
    <row r="240" spans="1:3" x14ac:dyDescent="0.2">
      <c r="A240">
        <v>2023</v>
      </c>
      <c r="B240">
        <v>640</v>
      </c>
      <c r="C240" s="1">
        <v>21458972</v>
      </c>
    </row>
    <row r="241" spans="1:3" x14ac:dyDescent="0.2">
      <c r="A241">
        <v>2024</v>
      </c>
      <c r="B241">
        <v>640</v>
      </c>
      <c r="C241" s="1">
        <v>24282234.780000001</v>
      </c>
    </row>
    <row r="242" spans="1:3" x14ac:dyDescent="0.2">
      <c r="A242">
        <v>2023</v>
      </c>
      <c r="B242">
        <v>710</v>
      </c>
      <c r="C242" s="1">
        <v>105948055.89</v>
      </c>
    </row>
    <row r="243" spans="1:3" x14ac:dyDescent="0.2">
      <c r="A243">
        <v>2024</v>
      </c>
      <c r="B243">
        <v>710</v>
      </c>
      <c r="C243" s="1">
        <v>101074722.06</v>
      </c>
    </row>
    <row r="244" spans="1:3" x14ac:dyDescent="0.2">
      <c r="A244">
        <v>2023</v>
      </c>
      <c r="B244">
        <v>720</v>
      </c>
      <c r="C244" s="1">
        <v>21918287.260000002</v>
      </c>
    </row>
    <row r="245" spans="1:3" x14ac:dyDescent="0.2">
      <c r="A245">
        <v>2024</v>
      </c>
      <c r="B245">
        <v>720</v>
      </c>
      <c r="C245" s="1">
        <v>24149985.420000002</v>
      </c>
    </row>
    <row r="246" spans="1:3" x14ac:dyDescent="0.2">
      <c r="A246">
        <v>2023</v>
      </c>
      <c r="B246">
        <v>730</v>
      </c>
      <c r="C246" s="1">
        <v>6713360.8200000003</v>
      </c>
    </row>
    <row r="247" spans="1:3" x14ac:dyDescent="0.2">
      <c r="A247">
        <v>2024</v>
      </c>
      <c r="B247">
        <v>730</v>
      </c>
      <c r="C247" s="1">
        <v>7938657.2599999998</v>
      </c>
    </row>
    <row r="248" spans="1:3" x14ac:dyDescent="0.2">
      <c r="A248">
        <v>2023</v>
      </c>
      <c r="B248">
        <v>740</v>
      </c>
      <c r="C248" s="1">
        <v>1044279.88</v>
      </c>
    </row>
    <row r="249" spans="1:3" x14ac:dyDescent="0.2">
      <c r="A249">
        <v>2024</v>
      </c>
      <c r="B249">
        <v>740</v>
      </c>
      <c r="C249" s="1">
        <v>595409.99</v>
      </c>
    </row>
    <row r="250" spans="1:3" x14ac:dyDescent="0.2">
      <c r="A250">
        <v>2023</v>
      </c>
      <c r="B250">
        <v>750</v>
      </c>
      <c r="C250" s="1">
        <v>6560439.0899999999</v>
      </c>
    </row>
    <row r="251" spans="1:3" x14ac:dyDescent="0.2">
      <c r="A251">
        <v>2024</v>
      </c>
      <c r="B251">
        <v>750</v>
      </c>
      <c r="C251" s="1">
        <v>6338728.9800000004</v>
      </c>
    </row>
    <row r="252" spans="1:3" x14ac:dyDescent="0.2">
      <c r="A252">
        <v>2023</v>
      </c>
      <c r="B252">
        <v>760</v>
      </c>
      <c r="C252" s="1">
        <v>55085948.719999999</v>
      </c>
    </row>
    <row r="253" spans="1:3" x14ac:dyDescent="0.2">
      <c r="A253">
        <v>2024</v>
      </c>
      <c r="B253">
        <v>760</v>
      </c>
      <c r="C253" s="1">
        <v>70394343.069999993</v>
      </c>
    </row>
    <row r="254" spans="1:3" x14ac:dyDescent="0.2">
      <c r="A254">
        <v>2023</v>
      </c>
      <c r="B254">
        <v>770</v>
      </c>
      <c r="C254" s="1">
        <v>25862164.449999999</v>
      </c>
    </row>
    <row r="255" spans="1:3" x14ac:dyDescent="0.2">
      <c r="A255">
        <v>2024</v>
      </c>
      <c r="B255">
        <v>770</v>
      </c>
      <c r="C255" s="1">
        <v>25988716.84</v>
      </c>
    </row>
    <row r="256" spans="1:3" x14ac:dyDescent="0.2">
      <c r="A256">
        <v>2023</v>
      </c>
      <c r="B256">
        <v>780</v>
      </c>
      <c r="C256" s="1">
        <v>25786898.550000001</v>
      </c>
    </row>
    <row r="257" spans="1:3" x14ac:dyDescent="0.2">
      <c r="A257">
        <v>2024</v>
      </c>
      <c r="B257">
        <v>780</v>
      </c>
      <c r="C257" s="1">
        <v>22407731.18</v>
      </c>
    </row>
    <row r="258" spans="1:3" x14ac:dyDescent="0.2">
      <c r="A258">
        <v>2023</v>
      </c>
      <c r="B258">
        <v>810</v>
      </c>
      <c r="C258" s="1">
        <v>11251710.060000001</v>
      </c>
    </row>
    <row r="259" spans="1:3" x14ac:dyDescent="0.2">
      <c r="A259">
        <v>2024</v>
      </c>
      <c r="B259">
        <v>810</v>
      </c>
      <c r="C259" s="1">
        <v>12092149.76</v>
      </c>
    </row>
    <row r="260" spans="1:3" x14ac:dyDescent="0.2">
      <c r="A260">
        <v>2023</v>
      </c>
      <c r="B260">
        <v>820</v>
      </c>
      <c r="C260" s="1">
        <v>6019763.1900000004</v>
      </c>
    </row>
    <row r="261" spans="1:3" x14ac:dyDescent="0.2">
      <c r="A261">
        <v>2024</v>
      </c>
      <c r="B261">
        <v>820</v>
      </c>
      <c r="C261" s="1">
        <v>6670343.6600000001</v>
      </c>
    </row>
    <row r="262" spans="1:3" x14ac:dyDescent="0.2">
      <c r="A262">
        <v>2023</v>
      </c>
      <c r="B262">
        <v>830</v>
      </c>
      <c r="C262" s="1">
        <v>1659114.89</v>
      </c>
    </row>
    <row r="263" spans="1:3" x14ac:dyDescent="0.2">
      <c r="A263">
        <v>2024</v>
      </c>
      <c r="B263">
        <v>830</v>
      </c>
      <c r="C263" s="1">
        <v>2181170.14</v>
      </c>
    </row>
    <row r="264" spans="1:3" x14ac:dyDescent="0.2">
      <c r="A264">
        <v>2023</v>
      </c>
      <c r="B264">
        <v>840</v>
      </c>
      <c r="C264" s="1">
        <v>19730130.870000001</v>
      </c>
    </row>
    <row r="265" spans="1:3" x14ac:dyDescent="0.2">
      <c r="A265">
        <v>2024</v>
      </c>
      <c r="B265">
        <v>840</v>
      </c>
      <c r="C265" s="1">
        <v>22312773.25</v>
      </c>
    </row>
    <row r="266" spans="1:3" x14ac:dyDescent="0.2">
      <c r="A266">
        <v>2023</v>
      </c>
      <c r="B266">
        <v>860</v>
      </c>
      <c r="C266" s="1">
        <v>4019159.11</v>
      </c>
    </row>
    <row r="267" spans="1:3" x14ac:dyDescent="0.2">
      <c r="A267">
        <v>2024</v>
      </c>
      <c r="B267">
        <v>860</v>
      </c>
      <c r="C267" s="1">
        <v>5303620.41</v>
      </c>
    </row>
    <row r="268" spans="1:3" x14ac:dyDescent="0.2">
      <c r="A268">
        <v>2023</v>
      </c>
      <c r="B268">
        <v>870</v>
      </c>
      <c r="C268" s="1">
        <v>4640733.12</v>
      </c>
    </row>
    <row r="269" spans="1:3" x14ac:dyDescent="0.2">
      <c r="A269">
        <v>2024</v>
      </c>
      <c r="B269">
        <v>870</v>
      </c>
      <c r="C269" s="1">
        <v>5771105.9400000004</v>
      </c>
    </row>
    <row r="270" spans="1:3" x14ac:dyDescent="0.2">
      <c r="A270">
        <v>2023</v>
      </c>
      <c r="B270">
        <v>900</v>
      </c>
      <c r="C270" s="1">
        <v>336603038.24000001</v>
      </c>
    </row>
    <row r="271" spans="1:3" x14ac:dyDescent="0.2">
      <c r="A271">
        <v>2024</v>
      </c>
      <c r="B271">
        <v>900</v>
      </c>
      <c r="C271" s="1">
        <v>329064247.75999999</v>
      </c>
    </row>
    <row r="272" spans="1:3" x14ac:dyDescent="0.2">
      <c r="A272">
        <v>2023</v>
      </c>
      <c r="B272" t="s">
        <v>0</v>
      </c>
      <c r="C272" s="1">
        <v>3389853511.4899998</v>
      </c>
    </row>
    <row r="273" spans="1:3" x14ac:dyDescent="0.2">
      <c r="A273">
        <v>2024</v>
      </c>
      <c r="B273" t="s">
        <v>0</v>
      </c>
      <c r="C273" s="1">
        <v>3671736591.77</v>
      </c>
    </row>
  </sheetData>
  <sortState xmlns:xlrd2="http://schemas.microsoft.com/office/spreadsheetml/2017/richdata2" ref="A2:C273">
    <sortCondition ref="B2:B273"/>
    <sortCondition ref="A2:A27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5AE0-2307-4E6D-8A68-0E404E5F4AD8}">
  <dimension ref="A1:G143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26" bestFit="1" customWidth="1"/>
    <col min="2" max="3" width="16.1640625" bestFit="1" customWidth="1"/>
    <col min="4" max="5" width="22.5" bestFit="1" customWidth="1"/>
    <col min="6" max="7" width="18" bestFit="1" customWidth="1"/>
  </cols>
  <sheetData>
    <row r="1" spans="1:7" x14ac:dyDescent="0.2">
      <c r="A1" s="3" t="s">
        <v>2</v>
      </c>
      <c r="B1" s="3">
        <v>2023</v>
      </c>
      <c r="C1" s="3">
        <v>2024</v>
      </c>
      <c r="D1" s="8" t="s">
        <v>8</v>
      </c>
      <c r="E1" s="8" t="s">
        <v>9</v>
      </c>
      <c r="F1" s="8" t="s">
        <v>13</v>
      </c>
      <c r="G1" s="8" t="s">
        <v>14</v>
      </c>
    </row>
    <row r="2" spans="1:7" x14ac:dyDescent="0.2">
      <c r="A2" s="4">
        <v>0</v>
      </c>
      <c r="B2" s="1">
        <v>14055528373.709999</v>
      </c>
      <c r="C2" s="1">
        <v>15468314230.290001</v>
      </c>
      <c r="D2" s="9" t="s">
        <v>16</v>
      </c>
      <c r="E2" s="9" t="s">
        <v>16</v>
      </c>
      <c r="F2" s="9" t="s">
        <v>16</v>
      </c>
      <c r="G2" s="9" t="s">
        <v>16</v>
      </c>
    </row>
    <row r="3" spans="1:7" x14ac:dyDescent="0.2">
      <c r="A3" s="4">
        <v>10</v>
      </c>
      <c r="B3" s="1">
        <v>9338433.6300000008</v>
      </c>
      <c r="C3" s="1">
        <v>9587995.3699999992</v>
      </c>
      <c r="D3">
        <f>B3/$B$141</f>
        <v>1.6112086552725125E-4</v>
      </c>
      <c r="E3">
        <f>C3/$C$141</f>
        <v>1.5165268955906223E-4</v>
      </c>
      <c r="F3" s="1">
        <f>B3+(D3*$B$2)+(D3*$B$139)</f>
        <v>12149248.658796854</v>
      </c>
      <c r="G3" s="1">
        <f>C3+(E3*$C$2)+(E3*$C$139)</f>
        <v>12490635.555462537</v>
      </c>
    </row>
    <row r="4" spans="1:7" x14ac:dyDescent="0.2">
      <c r="A4" s="4">
        <v>20</v>
      </c>
      <c r="B4" s="1">
        <v>12758226.98</v>
      </c>
      <c r="C4" s="1">
        <v>13441166.859999999</v>
      </c>
      <c r="D4">
        <f t="shared" ref="D4:D67" si="0">B4/$B$141</f>
        <v>2.2012434365941184E-4</v>
      </c>
      <c r="E4">
        <f t="shared" ref="E4:E67" si="1">C4/$C$141</f>
        <v>2.1259804854610972E-4</v>
      </c>
      <c r="F4" s="1">
        <f t="shared" ref="F4:F67" si="2">B4+(D4*$B$2)+(D4*$B$139)</f>
        <v>16598380.217367442</v>
      </c>
      <c r="G4" s="1">
        <f t="shared" ref="G4:G67" si="3">C4+(E4*$C$2)+(E4*$C$139)</f>
        <v>17510304.313843317</v>
      </c>
    </row>
    <row r="5" spans="1:7" x14ac:dyDescent="0.2">
      <c r="A5" s="4">
        <v>30</v>
      </c>
      <c r="B5" s="1">
        <v>5904522.8600000003</v>
      </c>
      <c r="C5" s="1">
        <v>7259005.8899999997</v>
      </c>
      <c r="D5">
        <f t="shared" si="0"/>
        <v>1.0187381218542118E-4</v>
      </c>
      <c r="E5">
        <f t="shared" si="1"/>
        <v>1.1481521676450019E-4</v>
      </c>
      <c r="F5" s="1">
        <f t="shared" si="2"/>
        <v>7681750.4176758137</v>
      </c>
      <c r="G5" s="1">
        <f t="shared" si="3"/>
        <v>9456574.9740183689</v>
      </c>
    </row>
    <row r="6" spans="1:7" x14ac:dyDescent="0.2">
      <c r="A6" s="4">
        <v>40</v>
      </c>
      <c r="B6" s="1">
        <v>22216650.010000002</v>
      </c>
      <c r="C6" s="1">
        <v>19358248.780000001</v>
      </c>
      <c r="D6">
        <f t="shared" si="0"/>
        <v>3.8331544888082212E-4</v>
      </c>
      <c r="E6">
        <f t="shared" si="1"/>
        <v>3.061881425001601E-4</v>
      </c>
      <c r="F6" s="1">
        <f t="shared" si="2"/>
        <v>28903734.398222804</v>
      </c>
      <c r="G6" s="1">
        <f t="shared" si="3"/>
        <v>25218705.388565216</v>
      </c>
    </row>
    <row r="7" spans="1:7" x14ac:dyDescent="0.2">
      <c r="A7" s="4">
        <v>50</v>
      </c>
      <c r="B7" s="1">
        <v>17087685.93</v>
      </c>
      <c r="C7" s="1">
        <v>22642784.760000002</v>
      </c>
      <c r="D7">
        <f t="shared" si="0"/>
        <v>2.9482275679025549E-4</v>
      </c>
      <c r="E7">
        <f t="shared" si="1"/>
        <v>3.581394311792357E-4</v>
      </c>
      <c r="F7" s="1">
        <f t="shared" si="2"/>
        <v>22230981.510653447</v>
      </c>
      <c r="G7" s="1">
        <f t="shared" si="3"/>
        <v>29497591.674154233</v>
      </c>
    </row>
    <row r="8" spans="1:7" x14ac:dyDescent="0.2">
      <c r="A8" s="4">
        <v>101</v>
      </c>
      <c r="B8" s="1">
        <v>12952138.800000001</v>
      </c>
      <c r="C8" s="1">
        <v>13299949.279999999</v>
      </c>
      <c r="D8">
        <f t="shared" si="0"/>
        <v>2.2347000541728896E-4</v>
      </c>
      <c r="E8">
        <f t="shared" si="1"/>
        <v>2.1036441940950929E-4</v>
      </c>
      <c r="F8" s="1">
        <f t="shared" si="2"/>
        <v>16850658.384392321</v>
      </c>
      <c r="G8" s="1">
        <f t="shared" si="3"/>
        <v>17326334.958651152</v>
      </c>
    </row>
    <row r="9" spans="1:7" x14ac:dyDescent="0.2">
      <c r="A9" s="4">
        <v>102</v>
      </c>
      <c r="B9" s="1">
        <v>37864261.359999999</v>
      </c>
      <c r="C9" s="1">
        <v>46618051.689999998</v>
      </c>
      <c r="D9">
        <f t="shared" si="0"/>
        <v>6.5329184792559851E-4</v>
      </c>
      <c r="E9">
        <f t="shared" si="1"/>
        <v>7.3735464484187441E-4</v>
      </c>
      <c r="F9" s="1">
        <f t="shared" si="2"/>
        <v>49261187.12955007</v>
      </c>
      <c r="G9" s="1">
        <f t="shared" si="3"/>
        <v>60731057.066155478</v>
      </c>
    </row>
    <row r="10" spans="1:7" x14ac:dyDescent="0.2">
      <c r="A10" s="4">
        <v>103</v>
      </c>
      <c r="B10" s="1">
        <v>7396350.6299999999</v>
      </c>
      <c r="C10" s="1">
        <v>6593270.4299999997</v>
      </c>
      <c r="D10">
        <f t="shared" si="0"/>
        <v>1.2761309470790016E-4</v>
      </c>
      <c r="E10">
        <f t="shared" si="1"/>
        <v>1.0428532296003129E-4</v>
      </c>
      <c r="F10" s="1">
        <f t="shared" si="2"/>
        <v>9622609.8007315136</v>
      </c>
      <c r="G10" s="1">
        <f t="shared" si="3"/>
        <v>8589296.8114499394</v>
      </c>
    </row>
    <row r="11" spans="1:7" x14ac:dyDescent="0.2">
      <c r="A11" s="4">
        <v>104</v>
      </c>
      <c r="B11" s="1">
        <v>23944200.920000002</v>
      </c>
      <c r="C11" s="1">
        <v>31194993.100000001</v>
      </c>
      <c r="D11">
        <f t="shared" si="0"/>
        <v>4.1312178567025977E-4</v>
      </c>
      <c r="E11">
        <f t="shared" si="1"/>
        <v>4.934091456900014E-4</v>
      </c>
      <c r="F11" s="1">
        <f t="shared" si="2"/>
        <v>31151268.236113429</v>
      </c>
      <c r="G11" s="1">
        <f t="shared" si="3"/>
        <v>40638869.22457584</v>
      </c>
    </row>
    <row r="12" spans="1:7" x14ac:dyDescent="0.2">
      <c r="A12" s="4">
        <v>105</v>
      </c>
      <c r="B12" s="1">
        <v>17519638.48</v>
      </c>
      <c r="C12" s="1">
        <v>18129014.579999998</v>
      </c>
      <c r="D12">
        <f t="shared" si="0"/>
        <v>3.0227545940401316E-4</v>
      </c>
      <c r="E12">
        <f t="shared" si="1"/>
        <v>2.8674542633956785E-4</v>
      </c>
      <c r="F12" s="1">
        <f t="shared" si="2"/>
        <v>22792949.303827278</v>
      </c>
      <c r="G12" s="1">
        <f t="shared" si="3"/>
        <v>23617336.613132589</v>
      </c>
    </row>
    <row r="13" spans="1:7" x14ac:dyDescent="0.2">
      <c r="A13" s="4">
        <v>106</v>
      </c>
      <c r="B13" s="1">
        <v>1152421.92</v>
      </c>
      <c r="C13" s="1">
        <v>884371.6</v>
      </c>
      <c r="D13">
        <f t="shared" si="0"/>
        <v>1.9883336388072256E-5</v>
      </c>
      <c r="E13">
        <f t="shared" si="1"/>
        <v>1.3988047191730252E-5</v>
      </c>
      <c r="F13" s="1">
        <f t="shared" si="2"/>
        <v>1499294.3164418137</v>
      </c>
      <c r="G13" s="1">
        <f t="shared" si="3"/>
        <v>1152103.5341510905</v>
      </c>
    </row>
    <row r="14" spans="1:7" x14ac:dyDescent="0.2">
      <c r="A14" s="4">
        <v>107</v>
      </c>
      <c r="B14" s="1">
        <v>5879819.5999999996</v>
      </c>
      <c r="C14" s="1">
        <v>10551341.539999999</v>
      </c>
      <c r="D14">
        <f t="shared" si="0"/>
        <v>1.0144759395758496E-4</v>
      </c>
      <c r="E14">
        <f t="shared" si="1"/>
        <v>1.6688987230886173E-4</v>
      </c>
      <c r="F14" s="1">
        <f t="shared" si="2"/>
        <v>7649611.6179247769</v>
      </c>
      <c r="G14" s="1">
        <f t="shared" si="3"/>
        <v>13745622.177678717</v>
      </c>
    </row>
    <row r="15" spans="1:7" x14ac:dyDescent="0.2">
      <c r="A15" s="4">
        <v>108</v>
      </c>
      <c r="B15" s="1">
        <v>4143647.63</v>
      </c>
      <c r="C15" s="1">
        <v>8565040.6600000001</v>
      </c>
      <c r="D15">
        <f t="shared" si="0"/>
        <v>7.1492513523977708E-5</v>
      </c>
      <c r="E15">
        <f t="shared" si="1"/>
        <v>1.3547268246873648E-4</v>
      </c>
      <c r="F15" s="1">
        <f t="shared" si="2"/>
        <v>5390861.830358617</v>
      </c>
      <c r="G15" s="1">
        <f t="shared" si="3"/>
        <v>11157994.687452413</v>
      </c>
    </row>
    <row r="16" spans="1:7" x14ac:dyDescent="0.2">
      <c r="A16" s="4">
        <v>109</v>
      </c>
      <c r="B16" s="1">
        <v>135937346.30000001</v>
      </c>
      <c r="C16" s="1">
        <v>150888341.96000001</v>
      </c>
      <c r="D16">
        <f t="shared" si="0"/>
        <v>2.3453979287245508E-3</v>
      </c>
      <c r="E16">
        <f t="shared" si="1"/>
        <v>2.3865909398474716E-3</v>
      </c>
      <c r="F16" s="1">
        <f t="shared" si="2"/>
        <v>176853708.8393569</v>
      </c>
      <c r="G16" s="1">
        <f t="shared" si="3"/>
        <v>196567813.84014854</v>
      </c>
    </row>
    <row r="17" spans="1:7" x14ac:dyDescent="0.2">
      <c r="A17" s="4">
        <v>110</v>
      </c>
      <c r="B17" s="1">
        <v>22328248.780000001</v>
      </c>
      <c r="C17" s="1">
        <v>23298295</v>
      </c>
      <c r="D17">
        <f t="shared" si="0"/>
        <v>3.8524092065977364E-4</v>
      </c>
      <c r="E17">
        <f t="shared" si="1"/>
        <v>3.6850759335425626E-4</v>
      </c>
      <c r="F17" s="1">
        <f t="shared" si="2"/>
        <v>29048923.758715786</v>
      </c>
      <c r="G17" s="1">
        <f t="shared" si="3"/>
        <v>30351549.065115482</v>
      </c>
    </row>
    <row r="18" spans="1:7" x14ac:dyDescent="0.2">
      <c r="A18" s="4">
        <v>111</v>
      </c>
      <c r="B18" s="1">
        <v>14523504.109999999</v>
      </c>
      <c r="C18" s="1">
        <v>15901258.289999999</v>
      </c>
      <c r="D18">
        <f t="shared" si="0"/>
        <v>2.5058159059720069E-4</v>
      </c>
      <c r="E18">
        <f t="shared" si="1"/>
        <v>2.5150915222561636E-4</v>
      </c>
      <c r="F18" s="1">
        <f t="shared" si="2"/>
        <v>18894995.651369005</v>
      </c>
      <c r="G18" s="1">
        <f t="shared" si="3"/>
        <v>20715156.245811518</v>
      </c>
    </row>
    <row r="19" spans="1:7" x14ac:dyDescent="0.2">
      <c r="A19" s="4">
        <v>112</v>
      </c>
      <c r="B19" s="1">
        <v>1606044.24</v>
      </c>
      <c r="C19" s="1">
        <v>1114477.18</v>
      </c>
      <c r="D19">
        <f t="shared" si="0"/>
        <v>2.7709918844693489E-5</v>
      </c>
      <c r="E19">
        <f t="shared" si="1"/>
        <v>1.7627611954009435E-5</v>
      </c>
      <c r="F19" s="1">
        <f t="shared" si="2"/>
        <v>2089454.3562535779</v>
      </c>
      <c r="G19" s="1">
        <f t="shared" si="3"/>
        <v>1451870.5686712929</v>
      </c>
    </row>
    <row r="20" spans="1:7" x14ac:dyDescent="0.2">
      <c r="A20" s="4">
        <v>113</v>
      </c>
      <c r="B20" s="1">
        <v>16043912.4</v>
      </c>
      <c r="C20" s="1">
        <v>22240725.960000001</v>
      </c>
      <c r="D20">
        <f t="shared" si="0"/>
        <v>2.7681398773633505E-4</v>
      </c>
      <c r="E20">
        <f t="shared" si="1"/>
        <v>3.5178009369231231E-4</v>
      </c>
      <c r="F20" s="1">
        <f t="shared" si="2"/>
        <v>20873038.127225433</v>
      </c>
      <c r="G20" s="1">
        <f t="shared" si="3"/>
        <v>28973814.831459887</v>
      </c>
    </row>
    <row r="21" spans="1:7" x14ac:dyDescent="0.2">
      <c r="A21" s="4">
        <v>114</v>
      </c>
      <c r="B21" s="1">
        <v>2168334.7799999998</v>
      </c>
      <c r="C21" s="1">
        <v>3343502.45</v>
      </c>
      <c r="D21">
        <f t="shared" si="0"/>
        <v>3.7411410772798078E-5</v>
      </c>
      <c r="E21">
        <f t="shared" si="1"/>
        <v>5.2883957440815285E-5</v>
      </c>
      <c r="F21" s="1">
        <f t="shared" si="2"/>
        <v>2820991.1277955472</v>
      </c>
      <c r="G21" s="1">
        <f t="shared" si="3"/>
        <v>4355704.0830888627</v>
      </c>
    </row>
    <row r="22" spans="1:7" x14ac:dyDescent="0.2">
      <c r="A22" s="4">
        <v>115</v>
      </c>
      <c r="B22" s="1">
        <v>2072661.93</v>
      </c>
      <c r="C22" s="1">
        <v>2172993.42</v>
      </c>
      <c r="D22">
        <f t="shared" si="0"/>
        <v>3.5760717197171216E-5</v>
      </c>
      <c r="E22">
        <f t="shared" si="1"/>
        <v>3.4370093415798647E-5</v>
      </c>
      <c r="F22" s="1">
        <f t="shared" si="2"/>
        <v>2696521.2979932907</v>
      </c>
      <c r="G22" s="1">
        <f t="shared" si="3"/>
        <v>2830838.7547373357</v>
      </c>
    </row>
    <row r="23" spans="1:7" x14ac:dyDescent="0.2">
      <c r="A23" s="4">
        <v>116</v>
      </c>
      <c r="B23" s="1">
        <v>40706113.109999999</v>
      </c>
      <c r="C23" s="1">
        <v>46503561.299999997</v>
      </c>
      <c r="D23">
        <f t="shared" si="0"/>
        <v>7.023237982292528E-4</v>
      </c>
      <c r="E23">
        <f t="shared" si="1"/>
        <v>7.3554375790439285E-4</v>
      </c>
      <c r="F23" s="1">
        <f t="shared" si="2"/>
        <v>52958419.97717347</v>
      </c>
      <c r="G23" s="1">
        <f t="shared" si="3"/>
        <v>60581906.208139069</v>
      </c>
    </row>
    <row r="24" spans="1:7" x14ac:dyDescent="0.2">
      <c r="A24" s="4">
        <v>117</v>
      </c>
      <c r="B24" s="1">
        <v>18661559646.310001</v>
      </c>
      <c r="C24" s="1">
        <v>21551212463.759998</v>
      </c>
      <c r="D24">
        <f t="shared" si="0"/>
        <v>0.32197762081239872</v>
      </c>
      <c r="E24">
        <f t="shared" si="1"/>
        <v>0.34087410425897896</v>
      </c>
      <c r="F24" s="1">
        <f t="shared" si="2"/>
        <v>24278582199.870415</v>
      </c>
      <c r="G24" s="1">
        <f t="shared" si="3"/>
        <v>28075560143.201035</v>
      </c>
    </row>
    <row r="25" spans="1:7" x14ac:dyDescent="0.2">
      <c r="A25" s="4">
        <v>118</v>
      </c>
      <c r="B25" s="1">
        <v>7931146.96</v>
      </c>
      <c r="C25" s="1">
        <v>9769247.6799999997</v>
      </c>
      <c r="D25">
        <f t="shared" si="0"/>
        <v>1.3684021469230354E-4</v>
      </c>
      <c r="E25">
        <f t="shared" si="1"/>
        <v>1.5451954537610806E-4</v>
      </c>
      <c r="F25" s="1">
        <f t="shared" si="2"/>
        <v>10318376.762559991</v>
      </c>
      <c r="G25" s="1">
        <f t="shared" si="3"/>
        <v>12726759.631500315</v>
      </c>
    </row>
    <row r="26" spans="1:7" x14ac:dyDescent="0.2">
      <c r="A26" s="4">
        <v>120</v>
      </c>
      <c r="B26" s="1">
        <v>6115530163.9300003</v>
      </c>
      <c r="C26" s="1">
        <v>6682701354.6700001</v>
      </c>
      <c r="D26">
        <f t="shared" si="0"/>
        <v>0.10551443124304931</v>
      </c>
      <c r="E26">
        <f t="shared" si="1"/>
        <v>0.10569984598935973</v>
      </c>
      <c r="F26" s="1">
        <f t="shared" si="2"/>
        <v>7956269711.3646736</v>
      </c>
      <c r="G26" s="1">
        <f t="shared" si="3"/>
        <v>8705801778.7902603</v>
      </c>
    </row>
    <row r="27" spans="1:7" x14ac:dyDescent="0.2">
      <c r="A27" s="4">
        <v>121</v>
      </c>
      <c r="B27" s="1">
        <v>20239641.870000001</v>
      </c>
      <c r="C27" s="1">
        <v>24816822.5</v>
      </c>
      <c r="D27">
        <f t="shared" si="0"/>
        <v>3.4920509640715776E-4</v>
      </c>
      <c r="E27">
        <f t="shared" si="1"/>
        <v>3.9252604253550558E-4</v>
      </c>
      <c r="F27" s="1">
        <f t="shared" si="2"/>
        <v>26331658.133080948</v>
      </c>
      <c r="G27" s="1">
        <f t="shared" si="3"/>
        <v>32329790.903111663</v>
      </c>
    </row>
    <row r="28" spans="1:7" x14ac:dyDescent="0.2">
      <c r="A28" s="4">
        <v>130</v>
      </c>
      <c r="B28" s="1">
        <v>572263498.75999999</v>
      </c>
      <c r="C28" s="1">
        <v>591554560.12</v>
      </c>
      <c r="D28">
        <f t="shared" si="0"/>
        <v>9.873560586612453E-3</v>
      </c>
      <c r="E28">
        <f t="shared" si="1"/>
        <v>9.3565794101051983E-3</v>
      </c>
      <c r="F28" s="1">
        <f t="shared" si="2"/>
        <v>744511533.7601136</v>
      </c>
      <c r="G28" s="1">
        <f t="shared" si="3"/>
        <v>770639965.55005372</v>
      </c>
    </row>
    <row r="29" spans="1:7" x14ac:dyDescent="0.2">
      <c r="A29" s="4">
        <v>131</v>
      </c>
      <c r="B29" s="1">
        <v>13916910.4</v>
      </c>
      <c r="C29" s="1">
        <v>10141049.35</v>
      </c>
      <c r="D29">
        <f t="shared" si="0"/>
        <v>2.4011571297243394E-4</v>
      </c>
      <c r="E29">
        <f t="shared" si="1"/>
        <v>1.6040030783605601E-4</v>
      </c>
      <c r="F29" s="1">
        <f t="shared" si="2"/>
        <v>18105820.709441181</v>
      </c>
      <c r="G29" s="1">
        <f t="shared" si="3"/>
        <v>13211119.393856181</v>
      </c>
    </row>
    <row r="30" spans="1:7" x14ac:dyDescent="0.2">
      <c r="A30" s="4">
        <v>140</v>
      </c>
      <c r="B30" s="1">
        <v>26175866.52</v>
      </c>
      <c r="C30" s="1">
        <v>24186204.640000001</v>
      </c>
      <c r="D30">
        <f t="shared" si="0"/>
        <v>4.5162587610832525E-4</v>
      </c>
      <c r="E30">
        <f t="shared" si="1"/>
        <v>3.8255160149100806E-4</v>
      </c>
      <c r="F30" s="1">
        <f t="shared" si="2"/>
        <v>34054652.397947758</v>
      </c>
      <c r="G30" s="1">
        <f t="shared" si="3"/>
        <v>31508261.734598339</v>
      </c>
    </row>
    <row r="31" spans="1:7" x14ac:dyDescent="0.2">
      <c r="A31" s="4">
        <v>211</v>
      </c>
      <c r="B31" s="1">
        <v>7390522.0499999998</v>
      </c>
      <c r="C31" s="1">
        <v>6886420.0099999998</v>
      </c>
      <c r="D31">
        <f t="shared" si="0"/>
        <v>1.2751253117748346E-4</v>
      </c>
      <c r="E31">
        <f t="shared" si="1"/>
        <v>1.0892205050677285E-4</v>
      </c>
      <c r="F31" s="1">
        <f t="shared" si="2"/>
        <v>9615026.8515396696</v>
      </c>
      <c r="G31" s="1">
        <f t="shared" si="3"/>
        <v>8971193.5923426189</v>
      </c>
    </row>
    <row r="32" spans="1:7" x14ac:dyDescent="0.2">
      <c r="A32" s="4">
        <v>212</v>
      </c>
      <c r="B32" s="1">
        <v>110382991.68000001</v>
      </c>
      <c r="C32" s="1">
        <v>108510344.75</v>
      </c>
      <c r="D32">
        <f t="shared" si="0"/>
        <v>1.904495321553083E-3</v>
      </c>
      <c r="E32">
        <f t="shared" si="1"/>
        <v>1.7163009566950353E-3</v>
      </c>
      <c r="F32" s="1">
        <f t="shared" si="2"/>
        <v>143607639.86307031</v>
      </c>
      <c r="G32" s="1">
        <f t="shared" si="3"/>
        <v>141360432.28709316</v>
      </c>
    </row>
    <row r="33" spans="1:7" x14ac:dyDescent="0.2">
      <c r="A33" s="4">
        <v>213</v>
      </c>
      <c r="B33" s="1">
        <v>10471793.24</v>
      </c>
      <c r="C33" s="1">
        <v>10274371.869999999</v>
      </c>
      <c r="D33">
        <f t="shared" si="0"/>
        <v>1.8067530993966263E-4</v>
      </c>
      <c r="E33">
        <f t="shared" si="1"/>
        <v>1.6250906133004022E-4</v>
      </c>
      <c r="F33" s="1">
        <f t="shared" si="2"/>
        <v>13623743.019124286</v>
      </c>
      <c r="G33" s="1">
        <f t="shared" si="3"/>
        <v>13384803.562902233</v>
      </c>
    </row>
    <row r="34" spans="1:7" x14ac:dyDescent="0.2">
      <c r="A34" s="4">
        <v>214</v>
      </c>
      <c r="B34" s="1">
        <v>643576956.48000002</v>
      </c>
      <c r="C34" s="1">
        <v>663812279.40999997</v>
      </c>
      <c r="D34">
        <f t="shared" si="0"/>
        <v>1.1103968863507542E-2</v>
      </c>
      <c r="E34">
        <f t="shared" si="1"/>
        <v>1.0499474984087128E-2</v>
      </c>
      <c r="F34" s="1">
        <f t="shared" si="2"/>
        <v>837289933.7452594</v>
      </c>
      <c r="G34" s="1">
        <f t="shared" si="3"/>
        <v>864772764.21037519</v>
      </c>
    </row>
    <row r="35" spans="1:7" x14ac:dyDescent="0.2">
      <c r="A35" s="4">
        <v>215</v>
      </c>
      <c r="B35" s="1">
        <v>5105783.21</v>
      </c>
      <c r="C35" s="1">
        <v>5678507.6399999997</v>
      </c>
      <c r="D35">
        <f t="shared" si="0"/>
        <v>8.8092740451345606E-5</v>
      </c>
      <c r="E35">
        <f t="shared" si="1"/>
        <v>8.9816580323159151E-5</v>
      </c>
      <c r="F35" s="1">
        <f t="shared" si="2"/>
        <v>6642594.7084875293</v>
      </c>
      <c r="G35" s="1">
        <f t="shared" si="3"/>
        <v>7397601.5520489002</v>
      </c>
    </row>
    <row r="36" spans="1:7" x14ac:dyDescent="0.2">
      <c r="A36" s="4">
        <v>221</v>
      </c>
      <c r="B36" s="1">
        <v>55642636.109999999</v>
      </c>
      <c r="C36" s="1">
        <v>67898923.439999998</v>
      </c>
      <c r="D36">
        <f t="shared" si="0"/>
        <v>9.600314191300928E-4</v>
      </c>
      <c r="E36">
        <f t="shared" si="1"/>
        <v>1.073952787885092E-3</v>
      </c>
      <c r="F36" s="1">
        <f t="shared" si="2"/>
        <v>72390750.838514969</v>
      </c>
      <c r="G36" s="1">
        <f t="shared" si="3"/>
        <v>88454434.380613685</v>
      </c>
    </row>
    <row r="37" spans="1:7" x14ac:dyDescent="0.2">
      <c r="A37" s="4">
        <v>222</v>
      </c>
      <c r="B37" s="1">
        <v>33643635.399999999</v>
      </c>
      <c r="C37" s="1">
        <v>35797549.710000001</v>
      </c>
      <c r="D37">
        <f t="shared" si="0"/>
        <v>5.8047118712897783E-4</v>
      </c>
      <c r="E37">
        <f t="shared" si="1"/>
        <v>5.6620747962936573E-4</v>
      </c>
      <c r="F37" s="1">
        <f t="shared" si="2"/>
        <v>43770176.93282041</v>
      </c>
      <c r="G37" s="1">
        <f t="shared" si="3"/>
        <v>46634789.645936564</v>
      </c>
    </row>
    <row r="38" spans="1:7" x14ac:dyDescent="0.2">
      <c r="A38" s="4">
        <v>224</v>
      </c>
      <c r="B38" s="1">
        <v>200712790.08000001</v>
      </c>
      <c r="C38" s="1">
        <v>225380214.44999999</v>
      </c>
      <c r="D38">
        <f t="shared" si="0"/>
        <v>3.4630024414575283E-3</v>
      </c>
      <c r="E38">
        <f t="shared" si="1"/>
        <v>3.5648239674463587E-3</v>
      </c>
      <c r="F38" s="1">
        <f t="shared" si="2"/>
        <v>261126190.14060655</v>
      </c>
      <c r="G38" s="1">
        <f t="shared" si="3"/>
        <v>293611126.35862088</v>
      </c>
    </row>
    <row r="39" spans="1:7" x14ac:dyDescent="0.2">
      <c r="A39" s="4">
        <v>225</v>
      </c>
      <c r="B39" s="1">
        <v>3725110398.4200001</v>
      </c>
      <c r="C39" s="1">
        <v>3801009501.96</v>
      </c>
      <c r="D39">
        <f t="shared" si="0"/>
        <v>6.4271272395175133E-2</v>
      </c>
      <c r="E39">
        <f t="shared" si="1"/>
        <v>6.0120316267089066E-2</v>
      </c>
      <c r="F39" s="1">
        <f t="shared" si="2"/>
        <v>4846347289.6015434</v>
      </c>
      <c r="G39" s="1">
        <f t="shared" si="3"/>
        <v>4951715410.7504053</v>
      </c>
    </row>
    <row r="40" spans="1:7" x14ac:dyDescent="0.2">
      <c r="A40" s="4">
        <v>226</v>
      </c>
      <c r="B40" s="1">
        <v>9874060342.6800003</v>
      </c>
      <c r="C40" s="1">
        <v>10291488835.26</v>
      </c>
      <c r="D40">
        <f t="shared" si="0"/>
        <v>0.1703623125370875</v>
      </c>
      <c r="E40">
        <f t="shared" si="1"/>
        <v>0.16277979923912289</v>
      </c>
      <c r="F40" s="1">
        <f t="shared" si="2"/>
        <v>12846095943.735287</v>
      </c>
      <c r="G40" s="1">
        <f t="shared" si="3"/>
        <v>13407102465.501535</v>
      </c>
    </row>
    <row r="41" spans="1:7" x14ac:dyDescent="0.2">
      <c r="A41" s="4">
        <v>227</v>
      </c>
      <c r="B41" s="1">
        <v>258780020.31</v>
      </c>
      <c r="C41" s="1">
        <v>297984511.54000002</v>
      </c>
      <c r="D41">
        <f t="shared" si="0"/>
        <v>4.4648666473958605E-3</v>
      </c>
      <c r="E41">
        <f t="shared" si="1"/>
        <v>4.7132013396022762E-3</v>
      </c>
      <c r="F41" s="1">
        <f t="shared" si="2"/>
        <v>336671324.04031336</v>
      </c>
      <c r="G41" s="1">
        <f t="shared" si="3"/>
        <v>388195424.71458882</v>
      </c>
    </row>
    <row r="42" spans="1:7" x14ac:dyDescent="0.2">
      <c r="A42" s="4">
        <v>228</v>
      </c>
      <c r="B42" s="1">
        <v>222993504.84</v>
      </c>
      <c r="C42" s="1">
        <v>223741648.63</v>
      </c>
      <c r="D42">
        <f t="shared" si="0"/>
        <v>3.8474232328806614E-3</v>
      </c>
      <c r="E42">
        <f t="shared" si="1"/>
        <v>3.5389068800852131E-3</v>
      </c>
      <c r="F42" s="1">
        <f t="shared" si="2"/>
        <v>290113272.41159391</v>
      </c>
      <c r="G42" s="1">
        <f t="shared" si="3"/>
        <v>291476506.1693688</v>
      </c>
    </row>
    <row r="43" spans="1:7" x14ac:dyDescent="0.2">
      <c r="A43" s="4">
        <v>229</v>
      </c>
      <c r="B43" s="1">
        <v>1988559826.47</v>
      </c>
      <c r="C43" s="1"/>
      <c r="D43">
        <f t="shared" si="0"/>
        <v>3.4309659744678929E-2</v>
      </c>
      <c r="E43">
        <f t="shared" si="1"/>
        <v>0</v>
      </c>
      <c r="F43" s="1">
        <f t="shared" si="2"/>
        <v>2587104943.0671978</v>
      </c>
      <c r="G43" s="1">
        <f t="shared" si="3"/>
        <v>0</v>
      </c>
    </row>
    <row r="44" spans="1:7" x14ac:dyDescent="0.2">
      <c r="A44" s="4">
        <v>230</v>
      </c>
      <c r="B44" s="1"/>
      <c r="C44" s="1">
        <v>335954469.06999999</v>
      </c>
      <c r="D44">
        <f t="shared" si="0"/>
        <v>0</v>
      </c>
      <c r="E44">
        <f t="shared" si="1"/>
        <v>5.3137696502509142E-3</v>
      </c>
      <c r="F44" s="1">
        <f t="shared" si="2"/>
        <v>0</v>
      </c>
      <c r="G44" s="1">
        <f t="shared" si="3"/>
        <v>437660290.23252249</v>
      </c>
    </row>
    <row r="45" spans="1:7" x14ac:dyDescent="0.2">
      <c r="A45" s="4">
        <v>231</v>
      </c>
      <c r="B45" s="1"/>
      <c r="C45" s="1">
        <v>1369098913.96</v>
      </c>
      <c r="D45">
        <f t="shared" si="0"/>
        <v>0</v>
      </c>
      <c r="E45">
        <f t="shared" si="1"/>
        <v>2.1654947104383628E-2</v>
      </c>
      <c r="F45" s="1">
        <f t="shared" si="2"/>
        <v>0</v>
      </c>
      <c r="G45" s="1">
        <f t="shared" si="3"/>
        <v>1783575702.0869236</v>
      </c>
    </row>
    <row r="46" spans="1:7" x14ac:dyDescent="0.2">
      <c r="A46" s="4">
        <v>232</v>
      </c>
      <c r="B46" s="1"/>
      <c r="C46" s="1">
        <v>105550389</v>
      </c>
      <c r="D46">
        <f t="shared" si="0"/>
        <v>0</v>
      </c>
      <c r="E46">
        <f t="shared" si="1"/>
        <v>1.6694835320780154E-3</v>
      </c>
      <c r="F46" s="1">
        <f t="shared" si="2"/>
        <v>0</v>
      </c>
      <c r="G46" s="1">
        <f t="shared" si="3"/>
        <v>137504388.65056545</v>
      </c>
    </row>
    <row r="47" spans="1:7" x14ac:dyDescent="0.2">
      <c r="A47" s="4">
        <v>241</v>
      </c>
      <c r="B47" s="1">
        <v>1943594594.02</v>
      </c>
      <c r="C47" s="1">
        <v>2201730867.4299998</v>
      </c>
      <c r="D47">
        <f t="shared" si="0"/>
        <v>3.3533851139293143E-2</v>
      </c>
      <c r="E47">
        <f t="shared" si="1"/>
        <v>3.4824631723926934E-2</v>
      </c>
      <c r="F47" s="1">
        <f t="shared" si="2"/>
        <v>2528605433.226418</v>
      </c>
      <c r="G47" s="1">
        <f t="shared" si="3"/>
        <v>2868276088.4854841</v>
      </c>
    </row>
    <row r="48" spans="1:7" x14ac:dyDescent="0.2">
      <c r="A48" s="4">
        <v>250</v>
      </c>
      <c r="B48" s="1">
        <v>2068651.15</v>
      </c>
      <c r="C48" s="1">
        <v>1394623.29</v>
      </c>
      <c r="D48">
        <f t="shared" si="0"/>
        <v>3.5691517118159743E-5</v>
      </c>
      <c r="E48">
        <f t="shared" si="1"/>
        <v>2.2058664474533222E-5</v>
      </c>
      <c r="F48" s="1">
        <f t="shared" si="2"/>
        <v>2691303.2961884495</v>
      </c>
      <c r="G48" s="1">
        <f t="shared" si="3"/>
        <v>1816827.2491093352</v>
      </c>
    </row>
    <row r="49" spans="1:7" x14ac:dyDescent="0.2">
      <c r="A49" s="4">
        <v>251</v>
      </c>
      <c r="B49" s="1">
        <v>696438.81</v>
      </c>
      <c r="C49" s="1">
        <v>576984.87</v>
      </c>
      <c r="D49">
        <f t="shared" si="0"/>
        <v>1.2016021990399784E-5</v>
      </c>
      <c r="E49">
        <f t="shared" si="1"/>
        <v>9.1261315836853476E-6</v>
      </c>
      <c r="F49" s="1">
        <f t="shared" si="2"/>
        <v>906062.90236348531</v>
      </c>
      <c r="G49" s="1">
        <f t="shared" si="3"/>
        <v>751659.49232054455</v>
      </c>
    </row>
    <row r="50" spans="1:7" x14ac:dyDescent="0.2">
      <c r="A50" s="4">
        <v>252</v>
      </c>
      <c r="B50" s="1">
        <v>457182165.07999998</v>
      </c>
      <c r="C50" s="1">
        <v>474876000.36000001</v>
      </c>
      <c r="D50">
        <f t="shared" si="0"/>
        <v>7.8880023202897945E-3</v>
      </c>
      <c r="E50">
        <f t="shared" si="1"/>
        <v>7.511082336040407E-3</v>
      </c>
      <c r="F50" s="1">
        <f t="shared" si="2"/>
        <v>594791377.86879921</v>
      </c>
      <c r="G50" s="1">
        <f t="shared" si="3"/>
        <v>618638498.00049055</v>
      </c>
    </row>
    <row r="51" spans="1:7" x14ac:dyDescent="0.2">
      <c r="A51" s="4">
        <v>253</v>
      </c>
      <c r="B51" s="1">
        <v>62139216.950000003</v>
      </c>
      <c r="C51" s="1">
        <v>75003518.909999996</v>
      </c>
      <c r="D51">
        <f t="shared" si="0"/>
        <v>1.0721203164100275E-3</v>
      </c>
      <c r="E51">
        <f t="shared" si="1"/>
        <v>1.1863257052339901E-3</v>
      </c>
      <c r="F51" s="1">
        <f t="shared" si="2"/>
        <v>80842765.296654388</v>
      </c>
      <c r="G51" s="1">
        <f t="shared" si="3"/>
        <v>97709853.199694738</v>
      </c>
    </row>
    <row r="52" spans="1:7" x14ac:dyDescent="0.2">
      <c r="A52" s="4">
        <v>254</v>
      </c>
      <c r="B52" s="1">
        <v>68904433.799999997</v>
      </c>
      <c r="C52" s="1">
        <v>75400950.709999993</v>
      </c>
      <c r="D52">
        <f t="shared" si="0"/>
        <v>1.1888441308675001E-3</v>
      </c>
      <c r="E52">
        <f t="shared" si="1"/>
        <v>1.1926118577674889E-3</v>
      </c>
      <c r="F52" s="1">
        <f t="shared" si="2"/>
        <v>89644273.664962217</v>
      </c>
      <c r="G52" s="1">
        <f t="shared" si="3"/>
        <v>98227602.278661132</v>
      </c>
    </row>
    <row r="53" spans="1:7" x14ac:dyDescent="0.2">
      <c r="A53" s="4">
        <v>255</v>
      </c>
      <c r="B53" s="1">
        <v>2551790055.8699999</v>
      </c>
      <c r="C53" s="1">
        <v>2996133510.98</v>
      </c>
      <c r="D53">
        <f t="shared" si="0"/>
        <v>4.4027364624061392E-2</v>
      </c>
      <c r="E53">
        <f t="shared" si="1"/>
        <v>4.7389645873197071E-2</v>
      </c>
      <c r="F53" s="1">
        <f t="shared" si="2"/>
        <v>3319864245.1356955</v>
      </c>
      <c r="G53" s="1">
        <f t="shared" si="3"/>
        <v>3903173741.4324179</v>
      </c>
    </row>
    <row r="54" spans="1:7" x14ac:dyDescent="0.2">
      <c r="A54" s="4">
        <v>256</v>
      </c>
      <c r="B54" s="1">
        <v>844681.17</v>
      </c>
      <c r="C54" s="1">
        <v>1057799.1000000001</v>
      </c>
      <c r="D54">
        <f t="shared" si="0"/>
        <v>1.4573724737707565E-5</v>
      </c>
      <c r="E54">
        <f t="shared" si="1"/>
        <v>1.6731138505770414E-5</v>
      </c>
      <c r="F54" s="1">
        <f t="shared" si="2"/>
        <v>1098925.3635390948</v>
      </c>
      <c r="G54" s="1">
        <f t="shared" si="3"/>
        <v>1378033.9413113708</v>
      </c>
    </row>
    <row r="55" spans="1:7" x14ac:dyDescent="0.2">
      <c r="A55" s="4">
        <v>257</v>
      </c>
      <c r="B55" s="1">
        <v>786425.88</v>
      </c>
      <c r="C55" s="1">
        <v>667704.81999999995</v>
      </c>
      <c r="D55">
        <f t="shared" si="0"/>
        <v>1.3568615838481921E-5</v>
      </c>
      <c r="E55">
        <f t="shared" si="1"/>
        <v>1.0561043041528869E-5</v>
      </c>
      <c r="F55" s="1">
        <f t="shared" si="2"/>
        <v>1023135.5649558903</v>
      </c>
      <c r="G55" s="1">
        <f t="shared" si="3"/>
        <v>869843.72054882569</v>
      </c>
    </row>
    <row r="56" spans="1:7" x14ac:dyDescent="0.2">
      <c r="A56" s="4">
        <v>258</v>
      </c>
      <c r="B56" s="1">
        <v>7745979.0700000003</v>
      </c>
      <c r="C56" s="1">
        <v>9405280.8300000001</v>
      </c>
      <c r="D56">
        <f t="shared" si="0"/>
        <v>1.3364541651878428E-4</v>
      </c>
      <c r="E56">
        <f t="shared" si="1"/>
        <v>1.4876270574667468E-4</v>
      </c>
      <c r="F56" s="1">
        <f t="shared" si="2"/>
        <v>10077474.398376808</v>
      </c>
      <c r="G56" s="1">
        <f t="shared" si="3"/>
        <v>12252606.57841851</v>
      </c>
    </row>
    <row r="57" spans="1:7" x14ac:dyDescent="0.2">
      <c r="A57" s="4">
        <v>259</v>
      </c>
      <c r="B57" s="1">
        <v>677635.42</v>
      </c>
      <c r="C57" s="1">
        <v>771109.12</v>
      </c>
      <c r="D57">
        <f t="shared" si="0"/>
        <v>1.1691597296528884E-5</v>
      </c>
      <c r="E57">
        <f t="shared" si="1"/>
        <v>1.2196582025625412E-5</v>
      </c>
      <c r="F57" s="1">
        <f t="shared" si="2"/>
        <v>881599.79968591826</v>
      </c>
      <c r="G57" s="1">
        <f t="shared" si="3"/>
        <v>1004552.3198258939</v>
      </c>
    </row>
    <row r="58" spans="1:7" x14ac:dyDescent="0.2">
      <c r="A58" s="4">
        <v>261</v>
      </c>
      <c r="B58" s="1">
        <v>22257654.23</v>
      </c>
      <c r="C58" s="1">
        <v>24097620.050000001</v>
      </c>
      <c r="D58">
        <f t="shared" si="0"/>
        <v>3.8402291607269099E-4</v>
      </c>
      <c r="E58">
        <f t="shared" si="1"/>
        <v>3.811504648812616E-4</v>
      </c>
      <c r="F58" s="1">
        <f t="shared" si="2"/>
        <v>28957080.653556205</v>
      </c>
      <c r="G58" s="1">
        <f t="shared" si="3"/>
        <v>31392859.318679143</v>
      </c>
    </row>
    <row r="59" spans="1:7" x14ac:dyDescent="0.2">
      <c r="A59" s="4">
        <v>263</v>
      </c>
      <c r="B59" s="1">
        <v>89765448.849999994</v>
      </c>
      <c r="C59" s="1">
        <v>92134876.269999996</v>
      </c>
      <c r="D59">
        <f t="shared" si="0"/>
        <v>1.5487701028030114E-3</v>
      </c>
      <c r="E59">
        <f t="shared" si="1"/>
        <v>1.4572912532118713E-3</v>
      </c>
      <c r="F59" s="1">
        <f t="shared" si="2"/>
        <v>116784334.74577899</v>
      </c>
      <c r="G59" s="1">
        <f t="shared" si="3"/>
        <v>120027504.91901872</v>
      </c>
    </row>
    <row r="60" spans="1:7" x14ac:dyDescent="0.2">
      <c r="A60" s="4">
        <v>264</v>
      </c>
      <c r="B60" s="1">
        <v>17385533.34</v>
      </c>
      <c r="C60" s="1">
        <v>20334640.379999999</v>
      </c>
      <c r="D60">
        <f t="shared" si="0"/>
        <v>2.9996167348610083E-4</v>
      </c>
      <c r="E60">
        <f t="shared" si="1"/>
        <v>3.2163166395472623E-4</v>
      </c>
      <c r="F60" s="1">
        <f t="shared" si="2"/>
        <v>22618479.2848887</v>
      </c>
      <c r="G60" s="1">
        <f t="shared" si="3"/>
        <v>26490686.774077181</v>
      </c>
    </row>
    <row r="61" spans="1:7" x14ac:dyDescent="0.2">
      <c r="A61" s="4">
        <v>265</v>
      </c>
      <c r="B61" s="1">
        <v>1477490.09</v>
      </c>
      <c r="C61" s="1">
        <v>1935511.02</v>
      </c>
      <c r="D61">
        <f t="shared" si="0"/>
        <v>2.5491907052161202E-5</v>
      </c>
      <c r="E61">
        <f t="shared" si="1"/>
        <v>3.0613849978757747E-5</v>
      </c>
      <c r="F61" s="1">
        <f t="shared" si="2"/>
        <v>1922206.1435069751</v>
      </c>
      <c r="G61" s="1">
        <f t="shared" si="3"/>
        <v>2521461.6644523437</v>
      </c>
    </row>
    <row r="62" spans="1:7" x14ac:dyDescent="0.2">
      <c r="A62" s="4">
        <v>266</v>
      </c>
      <c r="B62" s="1">
        <v>4623374.0999999996</v>
      </c>
      <c r="C62" s="1">
        <v>5073376.71</v>
      </c>
      <c r="D62">
        <f t="shared" si="0"/>
        <v>7.9769484494186647E-5</v>
      </c>
      <c r="E62">
        <f t="shared" si="1"/>
        <v>8.024526436726956E-5</v>
      </c>
      <c r="F62" s="1">
        <f t="shared" si="2"/>
        <v>6014983.2197866263</v>
      </c>
      <c r="G62" s="1">
        <f t="shared" si="3"/>
        <v>6609275.1482191803</v>
      </c>
    </row>
    <row r="63" spans="1:7" x14ac:dyDescent="0.2">
      <c r="A63" s="4">
        <v>271</v>
      </c>
      <c r="B63" s="1">
        <v>2217556.64</v>
      </c>
      <c r="C63" s="1">
        <v>1971477.29</v>
      </c>
      <c r="D63">
        <f t="shared" si="0"/>
        <v>3.826066119318804E-5</v>
      </c>
      <c r="E63">
        <f t="shared" si="1"/>
        <v>3.1182726096071459E-5</v>
      </c>
      <c r="F63" s="1">
        <f t="shared" si="2"/>
        <v>2885028.4856954175</v>
      </c>
      <c r="G63" s="1">
        <f t="shared" si="3"/>
        <v>2568316.2522491841</v>
      </c>
    </row>
    <row r="64" spans="1:7" x14ac:dyDescent="0.2">
      <c r="A64" s="4">
        <v>272</v>
      </c>
      <c r="B64" s="1">
        <v>6234406.8700000001</v>
      </c>
      <c r="C64" s="1">
        <v>5634358.5599999996</v>
      </c>
      <c r="D64">
        <f t="shared" si="0"/>
        <v>1.0756547304855037E-4</v>
      </c>
      <c r="E64">
        <f t="shared" si="1"/>
        <v>8.9118277240482737E-5</v>
      </c>
      <c r="F64" s="1">
        <f t="shared" si="2"/>
        <v>8110927.6249941494</v>
      </c>
      <c r="G64" s="1">
        <f t="shared" si="3"/>
        <v>7340086.9155572727</v>
      </c>
    </row>
    <row r="65" spans="1:7" x14ac:dyDescent="0.2">
      <c r="A65" s="4">
        <v>273</v>
      </c>
      <c r="B65" s="1">
        <v>14991848.220000001</v>
      </c>
      <c r="C65" s="1">
        <v>13754625.52</v>
      </c>
      <c r="D65">
        <f t="shared" si="0"/>
        <v>2.5866217577428786E-4</v>
      </c>
      <c r="E65">
        <f t="shared" si="1"/>
        <v>2.1755600346996359E-4</v>
      </c>
      <c r="F65" s="1">
        <f t="shared" si="2"/>
        <v>19504308.655639179</v>
      </c>
      <c r="G65" s="1">
        <f t="shared" si="3"/>
        <v>17918658.483059365</v>
      </c>
    </row>
    <row r="66" spans="1:7" x14ac:dyDescent="0.2">
      <c r="A66" s="4">
        <v>274</v>
      </c>
      <c r="B66" s="1">
        <v>30694305.52</v>
      </c>
      <c r="C66" s="1">
        <v>32467815.789999999</v>
      </c>
      <c r="D66">
        <f t="shared" si="0"/>
        <v>5.2958486059725691E-4</v>
      </c>
      <c r="E66">
        <f t="shared" si="1"/>
        <v>5.1354129811826234E-4</v>
      </c>
      <c r="F66" s="1">
        <f t="shared" si="2"/>
        <v>39933115.653739557</v>
      </c>
      <c r="G66" s="1">
        <f t="shared" si="3"/>
        <v>42297022.335210212</v>
      </c>
    </row>
    <row r="67" spans="1:7" x14ac:dyDescent="0.2">
      <c r="A67" s="4">
        <v>275</v>
      </c>
      <c r="B67" s="1">
        <v>39436935.950000003</v>
      </c>
      <c r="C67" s="1">
        <v>44852642.030000001</v>
      </c>
      <c r="D67">
        <f t="shared" si="0"/>
        <v>6.8042602279615606E-4</v>
      </c>
      <c r="E67">
        <f t="shared" si="1"/>
        <v>7.0943127684044104E-4</v>
      </c>
      <c r="F67" s="1">
        <f t="shared" si="2"/>
        <v>51307227.76230675</v>
      </c>
      <c r="G67" s="1">
        <f t="shared" si="3"/>
        <v>58431192.723484956</v>
      </c>
    </row>
    <row r="68" spans="1:7" x14ac:dyDescent="0.2">
      <c r="A68" s="4">
        <v>276</v>
      </c>
      <c r="B68" s="1">
        <v>7599089.5999999996</v>
      </c>
      <c r="C68" s="1">
        <v>6887154.1699999999</v>
      </c>
      <c r="D68">
        <f t="shared" ref="D68:D131" si="4">B68/$B$141</f>
        <v>1.3111105588819538E-4</v>
      </c>
      <c r="E68">
        <f t="shared" ref="E68:E131" si="5">C68/$C$141</f>
        <v>1.0893366266700762E-4</v>
      </c>
      <c r="F68" s="1">
        <f t="shared" ref="F68:F131" si="6">B68+(D68*$B$2)+(D68*$B$139)</f>
        <v>9886372.0393413678</v>
      </c>
      <c r="G68" s="1">
        <f t="shared" ref="G68:G131" si="7">C68+(E68*$C$2)+(E68*$C$139)</f>
        <v>8972150.0096796658</v>
      </c>
    </row>
    <row r="69" spans="1:7" x14ac:dyDescent="0.2">
      <c r="A69" s="4">
        <v>277</v>
      </c>
      <c r="B69" s="1">
        <v>17159200.41</v>
      </c>
      <c r="C69" s="1">
        <v>17683467.399999999</v>
      </c>
      <c r="D69">
        <f t="shared" si="4"/>
        <v>2.9605663340938305E-4</v>
      </c>
      <c r="E69">
        <f t="shared" si="5"/>
        <v>2.7969823601823424E-4</v>
      </c>
      <c r="F69" s="1">
        <f t="shared" si="6"/>
        <v>22324021.43947335</v>
      </c>
      <c r="G69" s="1">
        <f t="shared" si="7"/>
        <v>23036905.852229536</v>
      </c>
    </row>
    <row r="70" spans="1:7" x14ac:dyDescent="0.2">
      <c r="A70" s="4">
        <v>279</v>
      </c>
      <c r="B70" s="1">
        <v>24282928.59</v>
      </c>
      <c r="C70" s="1">
        <v>23344067.010000002</v>
      </c>
      <c r="D70">
        <f t="shared" si="4"/>
        <v>4.189660308114472E-4</v>
      </c>
      <c r="E70">
        <f t="shared" si="5"/>
        <v>3.6923156621356153E-4</v>
      </c>
      <c r="F70" s="1">
        <f t="shared" si="6"/>
        <v>31591950.994432166</v>
      </c>
      <c r="G70" s="1">
        <f t="shared" si="7"/>
        <v>30411177.952436384</v>
      </c>
    </row>
    <row r="71" spans="1:7" x14ac:dyDescent="0.2">
      <c r="A71" s="4">
        <v>290</v>
      </c>
      <c r="B71" s="1">
        <v>39862660.390000001</v>
      </c>
      <c r="C71" s="1">
        <v>42935523.460000001</v>
      </c>
      <c r="D71">
        <f t="shared" si="4"/>
        <v>6.877712685800472E-4</v>
      </c>
      <c r="E71">
        <f t="shared" si="5"/>
        <v>6.7910833902866321E-4</v>
      </c>
      <c r="F71" s="1">
        <f t="shared" si="6"/>
        <v>51861092.820047379</v>
      </c>
      <c r="G71" s="1">
        <f t="shared" si="7"/>
        <v>55933691.582693368</v>
      </c>
    </row>
    <row r="72" spans="1:7" x14ac:dyDescent="0.2">
      <c r="A72" s="4">
        <v>291</v>
      </c>
      <c r="B72" s="1">
        <v>59477446.219999999</v>
      </c>
      <c r="C72" s="1">
        <v>63070843.359999999</v>
      </c>
      <c r="D72">
        <f t="shared" si="4"/>
        <v>1.0261953978589167E-3</v>
      </c>
      <c r="E72">
        <f t="shared" si="5"/>
        <v>9.9758736411470765E-4</v>
      </c>
      <c r="F72" s="1">
        <f t="shared" si="6"/>
        <v>77379816.824483559</v>
      </c>
      <c r="G72" s="1">
        <f t="shared" si="7"/>
        <v>82164716.208600372</v>
      </c>
    </row>
    <row r="73" spans="1:7" x14ac:dyDescent="0.2">
      <c r="A73" s="4">
        <v>292</v>
      </c>
      <c r="B73" s="1">
        <v>43797264.189999998</v>
      </c>
      <c r="C73" s="1">
        <v>43625567.030000001</v>
      </c>
      <c r="D73">
        <f t="shared" si="4"/>
        <v>7.5565703988608691E-4</v>
      </c>
      <c r="E73">
        <f t="shared" si="5"/>
        <v>6.9002271260365142E-4</v>
      </c>
      <c r="F73" s="1">
        <f t="shared" si="6"/>
        <v>56979989.825052589</v>
      </c>
      <c r="G73" s="1">
        <f t="shared" si="7"/>
        <v>56832636.817609593</v>
      </c>
    </row>
    <row r="74" spans="1:7" x14ac:dyDescent="0.2">
      <c r="A74" s="4">
        <v>293</v>
      </c>
      <c r="B74" s="1">
        <v>17297598.219999999</v>
      </c>
      <c r="C74" s="1">
        <v>17904564.399999999</v>
      </c>
      <c r="D74">
        <f t="shared" si="4"/>
        <v>2.9844448300148601E-4</v>
      </c>
      <c r="E74">
        <f t="shared" si="5"/>
        <v>2.8319531266559603E-4</v>
      </c>
      <c r="F74" s="1">
        <f t="shared" si="6"/>
        <v>22504076.197492</v>
      </c>
      <c r="G74" s="1">
        <f t="shared" si="7"/>
        <v>23324937.076988678</v>
      </c>
    </row>
    <row r="75" spans="1:7" x14ac:dyDescent="0.2">
      <c r="A75" s="4">
        <v>294</v>
      </c>
      <c r="B75" s="1">
        <v>127216286.97</v>
      </c>
      <c r="C75" s="1">
        <v>131781992.93000001</v>
      </c>
      <c r="D75">
        <f t="shared" si="4"/>
        <v>2.1949289439635472E-3</v>
      </c>
      <c r="E75">
        <f t="shared" si="5"/>
        <v>2.084387079057155E-3</v>
      </c>
      <c r="F75" s="1">
        <f t="shared" si="6"/>
        <v>165507660.60832283</v>
      </c>
      <c r="G75" s="1">
        <f t="shared" si="7"/>
        <v>171677267.55599913</v>
      </c>
    </row>
    <row r="76" spans="1:7" x14ac:dyDescent="0.2">
      <c r="A76" s="4">
        <v>295</v>
      </c>
      <c r="B76" s="1">
        <v>126650239.38</v>
      </c>
      <c r="C76" s="1">
        <v>133359031.66</v>
      </c>
      <c r="D76">
        <f t="shared" si="4"/>
        <v>2.1851626296924445E-3</v>
      </c>
      <c r="E76">
        <f t="shared" si="5"/>
        <v>2.1093309964991284E-3</v>
      </c>
      <c r="F76" s="1">
        <f t="shared" si="6"/>
        <v>164771235.93625253</v>
      </c>
      <c r="G76" s="1">
        <f t="shared" si="7"/>
        <v>173731734.13353977</v>
      </c>
    </row>
    <row r="77" spans="1:7" x14ac:dyDescent="0.2">
      <c r="A77" s="4">
        <v>296</v>
      </c>
      <c r="B77" s="1">
        <v>49090403.710000001</v>
      </c>
      <c r="C77" s="1">
        <v>53451643.219999999</v>
      </c>
      <c r="D77">
        <f t="shared" si="4"/>
        <v>8.4698233646250004E-4</v>
      </c>
      <c r="E77">
        <f t="shared" si="5"/>
        <v>8.4544111076937376E-4</v>
      </c>
      <c r="F77" s="1">
        <f t="shared" si="6"/>
        <v>63866334.019607268</v>
      </c>
      <c r="G77" s="1">
        <f t="shared" si="7"/>
        <v>69633429.047184676</v>
      </c>
    </row>
    <row r="78" spans="1:7" x14ac:dyDescent="0.2">
      <c r="A78" s="4">
        <v>311</v>
      </c>
      <c r="B78" s="1">
        <v>2311622.9900000002</v>
      </c>
      <c r="C78" s="1">
        <v>2938999.77</v>
      </c>
      <c r="D78">
        <f t="shared" si="4"/>
        <v>3.9883636986505247E-5</v>
      </c>
      <c r="E78">
        <f t="shared" si="5"/>
        <v>4.6485965265330048E-5</v>
      </c>
      <c r="F78" s="1">
        <f t="shared" si="6"/>
        <v>3007408.2682002718</v>
      </c>
      <c r="G78" s="1">
        <f t="shared" si="7"/>
        <v>3828743.5076909331</v>
      </c>
    </row>
    <row r="79" spans="1:7" x14ac:dyDescent="0.2">
      <c r="A79" s="4">
        <v>312</v>
      </c>
      <c r="B79" s="1">
        <v>34183643.729999997</v>
      </c>
      <c r="C79" s="1">
        <v>37061481.109999999</v>
      </c>
      <c r="D79">
        <f t="shared" si="4"/>
        <v>5.8978823246750374E-4</v>
      </c>
      <c r="E79">
        <f t="shared" si="5"/>
        <v>5.8619899911089332E-4</v>
      </c>
      <c r="F79" s="1">
        <f t="shared" si="6"/>
        <v>44472724.676792711</v>
      </c>
      <c r="G79" s="1">
        <f t="shared" si="7"/>
        <v>48281359.744823202</v>
      </c>
    </row>
    <row r="80" spans="1:7" x14ac:dyDescent="0.2">
      <c r="A80" s="4">
        <v>313</v>
      </c>
      <c r="B80" s="1">
        <v>17712122.350000001</v>
      </c>
      <c r="C80" s="1">
        <v>19243579.559999999</v>
      </c>
      <c r="D80">
        <f t="shared" si="4"/>
        <v>3.055964839958467E-4</v>
      </c>
      <c r="E80">
        <f t="shared" si="5"/>
        <v>3.0437442702037885E-4</v>
      </c>
      <c r="F80" s="1">
        <f t="shared" si="6"/>
        <v>23043369.716081958</v>
      </c>
      <c r="G80" s="1">
        <f t="shared" si="7"/>
        <v>25069321.562105443</v>
      </c>
    </row>
    <row r="81" spans="1:7" x14ac:dyDescent="0.2">
      <c r="A81" s="4">
        <v>314</v>
      </c>
      <c r="B81" s="1">
        <v>4923434.3899999997</v>
      </c>
      <c r="C81" s="1">
        <v>6776608.4400000004</v>
      </c>
      <c r="D81">
        <f t="shared" si="4"/>
        <v>8.4946581162716282E-5</v>
      </c>
      <c r="E81">
        <f t="shared" si="5"/>
        <v>1.0718516815623379E-4</v>
      </c>
      <c r="F81" s="1">
        <f t="shared" si="6"/>
        <v>6405359.9382257219</v>
      </c>
      <c r="G81" s="1">
        <f t="shared" si="7"/>
        <v>8828138.0058813617</v>
      </c>
    </row>
    <row r="82" spans="1:7" x14ac:dyDescent="0.2">
      <c r="A82" s="4">
        <v>316</v>
      </c>
      <c r="B82" s="1">
        <v>1236817.01</v>
      </c>
      <c r="C82" s="1">
        <v>949554.1</v>
      </c>
      <c r="D82">
        <f t="shared" si="4"/>
        <v>2.1339448888927528E-5</v>
      </c>
      <c r="E82">
        <f t="shared" si="5"/>
        <v>1.5019034489462287E-5</v>
      </c>
      <c r="F82" s="1">
        <f t="shared" si="6"/>
        <v>1609091.8450870477</v>
      </c>
      <c r="G82" s="1">
        <f t="shared" si="7"/>
        <v>1237019.1834265802</v>
      </c>
    </row>
    <row r="83" spans="1:7" x14ac:dyDescent="0.2">
      <c r="A83" s="4">
        <v>317</v>
      </c>
      <c r="B83" s="1">
        <v>36089469.68</v>
      </c>
      <c r="C83" s="1">
        <v>39208288.009999998</v>
      </c>
      <c r="D83">
        <f t="shared" si="4"/>
        <v>6.2267044149470394E-4</v>
      </c>
      <c r="E83">
        <f t="shared" si="5"/>
        <v>6.2015490206925614E-4</v>
      </c>
      <c r="F83" s="1">
        <f t="shared" si="6"/>
        <v>46952193.320501193</v>
      </c>
      <c r="G83" s="1">
        <f t="shared" si="7"/>
        <v>51078084.353155203</v>
      </c>
    </row>
    <row r="84" spans="1:7" x14ac:dyDescent="0.2">
      <c r="A84" s="4">
        <v>318</v>
      </c>
      <c r="B84" s="1">
        <v>5716513.71</v>
      </c>
      <c r="C84" s="1">
        <v>5860498.0099999998</v>
      </c>
      <c r="D84">
        <f t="shared" si="4"/>
        <v>9.8629992271369611E-5</v>
      </c>
      <c r="E84">
        <f t="shared" si="5"/>
        <v>9.2695109986482181E-5</v>
      </c>
      <c r="F84" s="1">
        <f t="shared" si="6"/>
        <v>7437151.5905083679</v>
      </c>
      <c r="G84" s="1">
        <f t="shared" si="7"/>
        <v>7634687.1260977099</v>
      </c>
    </row>
    <row r="85" spans="1:7" x14ac:dyDescent="0.2">
      <c r="A85" s="4">
        <v>319</v>
      </c>
      <c r="B85" s="1">
        <v>23637950.5</v>
      </c>
      <c r="C85" s="1">
        <v>26426348.899999999</v>
      </c>
      <c r="D85">
        <f t="shared" si="4"/>
        <v>4.0783788746061057E-4</v>
      </c>
      <c r="E85">
        <f t="shared" si="5"/>
        <v>4.1798381530832609E-4</v>
      </c>
      <c r="F85" s="1">
        <f t="shared" si="6"/>
        <v>30752838.194003571</v>
      </c>
      <c r="G85" s="1">
        <f t="shared" si="7"/>
        <v>34426580.3677999</v>
      </c>
    </row>
    <row r="86" spans="1:7" x14ac:dyDescent="0.2">
      <c r="A86" s="4">
        <v>320</v>
      </c>
      <c r="B86" s="1">
        <v>608342.32999999996</v>
      </c>
      <c r="C86" s="1">
        <v>254220.25</v>
      </c>
      <c r="D86">
        <f t="shared" si="4"/>
        <v>1.0496047477553758E-5</v>
      </c>
      <c r="E86">
        <f t="shared" si="5"/>
        <v>4.020984905093586E-6</v>
      </c>
      <c r="F86" s="1">
        <f t="shared" si="6"/>
        <v>791449.88653111539</v>
      </c>
      <c r="G86" s="1">
        <f t="shared" si="7"/>
        <v>331182.1054382273</v>
      </c>
    </row>
    <row r="87" spans="1:7" x14ac:dyDescent="0.2">
      <c r="A87" s="4">
        <v>321</v>
      </c>
      <c r="B87" s="1">
        <v>6104697.5899999999</v>
      </c>
      <c r="C87" s="1">
        <v>5390125.2599999998</v>
      </c>
      <c r="D87">
        <f t="shared" si="4"/>
        <v>1.0532753119571346E-4</v>
      </c>
      <c r="E87">
        <f t="shared" si="5"/>
        <v>8.5255255263983246E-5</v>
      </c>
      <c r="F87" s="1">
        <f t="shared" si="6"/>
        <v>7942176.5947345374</v>
      </c>
      <c r="G87" s="1">
        <f t="shared" si="7"/>
        <v>7021915.1786003374</v>
      </c>
    </row>
    <row r="88" spans="1:7" x14ac:dyDescent="0.2">
      <c r="A88" s="4">
        <v>322</v>
      </c>
      <c r="B88" s="1">
        <v>70226508.599999994</v>
      </c>
      <c r="C88" s="1">
        <v>72496829.700000003</v>
      </c>
      <c r="D88">
        <f t="shared" si="4"/>
        <v>1.2116545768702917E-3</v>
      </c>
      <c r="E88">
        <f t="shared" si="5"/>
        <v>1.1466775675456238E-3</v>
      </c>
      <c r="F88" s="1">
        <f t="shared" si="6"/>
        <v>91364285.406452656</v>
      </c>
      <c r="G88" s="1">
        <f t="shared" si="7"/>
        <v>94444296.619339377</v>
      </c>
    </row>
    <row r="89" spans="1:7" x14ac:dyDescent="0.2">
      <c r="A89" s="4">
        <v>323</v>
      </c>
      <c r="B89" s="1">
        <v>2167542.63</v>
      </c>
      <c r="C89" s="1">
        <v>2338171.0699999998</v>
      </c>
      <c r="D89">
        <f t="shared" si="4"/>
        <v>3.7397743395732038E-5</v>
      </c>
      <c r="E89">
        <f t="shared" si="5"/>
        <v>3.698269739722354E-5</v>
      </c>
      <c r="F89" s="1">
        <f t="shared" si="6"/>
        <v>2819960.5451832614</v>
      </c>
      <c r="G89" s="1">
        <f t="shared" si="7"/>
        <v>3046021.7777197245</v>
      </c>
    </row>
    <row r="90" spans="1:7" x14ac:dyDescent="0.2">
      <c r="A90" s="4">
        <v>324</v>
      </c>
      <c r="B90" s="1">
        <v>21910886.800000001</v>
      </c>
      <c r="C90" s="1">
        <v>21820272.120000001</v>
      </c>
      <c r="D90">
        <f t="shared" si="4"/>
        <v>3.7803995675938904E-4</v>
      </c>
      <c r="E90">
        <f t="shared" si="5"/>
        <v>3.4512980307254998E-4</v>
      </c>
      <c r="F90" s="1">
        <f t="shared" si="6"/>
        <v>28505938.213532034</v>
      </c>
      <c r="G90" s="1">
        <f t="shared" si="7"/>
        <v>28426074.091016166</v>
      </c>
    </row>
    <row r="91" spans="1:7" x14ac:dyDescent="0.2">
      <c r="A91" s="4">
        <v>325</v>
      </c>
      <c r="B91" s="1">
        <v>1113282.58</v>
      </c>
      <c r="C91" s="1">
        <v>1062183.55</v>
      </c>
      <c r="D91">
        <f t="shared" si="4"/>
        <v>1.9208044943401427E-5</v>
      </c>
      <c r="E91">
        <f t="shared" si="5"/>
        <v>1.6800487061863553E-5</v>
      </c>
      <c r="F91" s="1">
        <f t="shared" si="6"/>
        <v>1448374.2593057228</v>
      </c>
      <c r="G91" s="1">
        <f t="shared" si="7"/>
        <v>1383745.7261994299</v>
      </c>
    </row>
    <row r="92" spans="1:7" x14ac:dyDescent="0.2">
      <c r="A92" s="4">
        <v>328</v>
      </c>
      <c r="B92" s="1">
        <v>195854.12</v>
      </c>
      <c r="C92" s="1">
        <v>272181.3</v>
      </c>
      <c r="D92">
        <f t="shared" si="4"/>
        <v>3.3791732727106321E-6</v>
      </c>
      <c r="E92">
        <f t="shared" si="5"/>
        <v>4.305073646763972E-6</v>
      </c>
      <c r="F92" s="1">
        <f t="shared" si="6"/>
        <v>254805.08819869807</v>
      </c>
      <c r="G92" s="1">
        <f t="shared" si="7"/>
        <v>354580.62839177361</v>
      </c>
    </row>
    <row r="93" spans="1:7" x14ac:dyDescent="0.2">
      <c r="A93" s="4">
        <v>341</v>
      </c>
      <c r="B93" s="1">
        <v>1829513.22</v>
      </c>
      <c r="C93" s="1">
        <v>1623489.18</v>
      </c>
      <c r="D93">
        <f t="shared" si="4"/>
        <v>3.1565545698475814E-5</v>
      </c>
      <c r="E93">
        <f t="shared" si="5"/>
        <v>2.5678621141953732E-5</v>
      </c>
      <c r="F93" s="1">
        <f t="shared" si="6"/>
        <v>2380186.2191246427</v>
      </c>
      <c r="G93" s="1">
        <f t="shared" si="7"/>
        <v>2114979.2936974191</v>
      </c>
    </row>
    <row r="94" spans="1:7" x14ac:dyDescent="0.2">
      <c r="A94" s="4">
        <v>342</v>
      </c>
      <c r="B94" s="1">
        <v>18381455.440000001</v>
      </c>
      <c r="C94" s="1">
        <v>22422912.300000001</v>
      </c>
      <c r="D94">
        <f t="shared" si="4"/>
        <v>3.1714483686311759E-4</v>
      </c>
      <c r="E94">
        <f t="shared" si="5"/>
        <v>3.5466172300018309E-4</v>
      </c>
      <c r="F94" s="1">
        <f t="shared" si="6"/>
        <v>23914168.231996544</v>
      </c>
      <c r="G94" s="1">
        <f t="shared" si="7"/>
        <v>29211155.70286287</v>
      </c>
    </row>
    <row r="95" spans="1:7" x14ac:dyDescent="0.2">
      <c r="A95" s="4">
        <v>351</v>
      </c>
      <c r="B95" s="1">
        <v>103984578.45999999</v>
      </c>
      <c r="C95" s="1">
        <v>105690152.91</v>
      </c>
      <c r="D95">
        <f t="shared" si="4"/>
        <v>1.7941001614166384E-3</v>
      </c>
      <c r="E95">
        <f t="shared" si="5"/>
        <v>1.6716941686122286E-3</v>
      </c>
      <c r="F95" s="1">
        <f t="shared" si="6"/>
        <v>135283340.9162122</v>
      </c>
      <c r="G95" s="1">
        <f t="shared" si="7"/>
        <v>137686464.25617939</v>
      </c>
    </row>
    <row r="96" spans="1:7" x14ac:dyDescent="0.2">
      <c r="A96" s="4">
        <v>352</v>
      </c>
      <c r="B96" s="1">
        <v>6132119.9299999997</v>
      </c>
      <c r="C96" s="1">
        <v>7190754.4699999997</v>
      </c>
      <c r="D96">
        <f t="shared" si="4"/>
        <v>1.0580066312882359E-4</v>
      </c>
      <c r="E96">
        <f t="shared" si="5"/>
        <v>1.1373568856180507E-4</v>
      </c>
      <c r="F96" s="1">
        <f t="shared" si="6"/>
        <v>7977852.9019897254</v>
      </c>
      <c r="G96" s="1">
        <f t="shared" si="7"/>
        <v>9367661.3293549381</v>
      </c>
    </row>
    <row r="97" spans="1:7" x14ac:dyDescent="0.2">
      <c r="A97" s="4">
        <v>353</v>
      </c>
      <c r="B97" s="1">
        <v>7844442.6399999997</v>
      </c>
      <c r="C97" s="1">
        <v>7720121.6699999999</v>
      </c>
      <c r="D97">
        <f t="shared" si="4"/>
        <v>1.3534425984196619E-4</v>
      </c>
      <c r="E97">
        <f t="shared" si="5"/>
        <v>1.2210865460385585E-4</v>
      </c>
      <c r="F97" s="1">
        <f t="shared" si="6"/>
        <v>10205574.938912839</v>
      </c>
      <c r="G97" s="1">
        <f t="shared" si="7"/>
        <v>10057287.524931172</v>
      </c>
    </row>
    <row r="98" spans="1:7" x14ac:dyDescent="0.2">
      <c r="A98" s="4">
        <v>354</v>
      </c>
      <c r="B98" s="1">
        <v>909370232.72000003</v>
      </c>
      <c r="C98" s="1">
        <v>1041777038.9</v>
      </c>
      <c r="D98">
        <f t="shared" si="4"/>
        <v>1.5689838872963571E-2</v>
      </c>
      <c r="E98">
        <f t="shared" si="5"/>
        <v>1.6477718623477057E-2</v>
      </c>
      <c r="F98" s="1">
        <f t="shared" si="6"/>
        <v>1183085463.5761056</v>
      </c>
      <c r="G98" s="1">
        <f t="shared" si="7"/>
        <v>1357161410.7849555</v>
      </c>
    </row>
    <row r="99" spans="1:7" x14ac:dyDescent="0.2">
      <c r="A99" s="4">
        <v>355</v>
      </c>
      <c r="B99" s="1">
        <v>58401543.369999997</v>
      </c>
      <c r="C99" s="1">
        <v>71495073.390000001</v>
      </c>
      <c r="D99">
        <f t="shared" si="4"/>
        <v>1.0076322848911977E-3</v>
      </c>
      <c r="E99">
        <f t="shared" si="5"/>
        <v>1.1308328541481179E-3</v>
      </c>
      <c r="F99" s="1">
        <f t="shared" si="6"/>
        <v>75980073.379783586</v>
      </c>
      <c r="G99" s="1">
        <f t="shared" si="7"/>
        <v>93139271.689650133</v>
      </c>
    </row>
    <row r="100" spans="1:7" x14ac:dyDescent="0.2">
      <c r="A100" s="4">
        <v>371</v>
      </c>
      <c r="B100" s="1">
        <v>3356340.79</v>
      </c>
      <c r="C100" s="1">
        <v>2727179.96</v>
      </c>
      <c r="D100">
        <f t="shared" si="4"/>
        <v>5.7908698023184238E-5</v>
      </c>
      <c r="E100">
        <f t="shared" si="5"/>
        <v>4.3135625319516165E-5</v>
      </c>
      <c r="F100" s="1">
        <f t="shared" si="6"/>
        <v>4366580.1414891751</v>
      </c>
      <c r="G100" s="1">
        <f t="shared" si="7"/>
        <v>3552798.0208568773</v>
      </c>
    </row>
    <row r="101" spans="1:7" x14ac:dyDescent="0.2">
      <c r="A101" s="4">
        <v>372</v>
      </c>
      <c r="B101" s="1">
        <v>22245254.600000001</v>
      </c>
      <c r="C101" s="1">
        <v>26183682.27</v>
      </c>
      <c r="D101">
        <f t="shared" si="4"/>
        <v>3.8380897878974031E-4</v>
      </c>
      <c r="E101">
        <f t="shared" si="5"/>
        <v>4.141455732477509E-4</v>
      </c>
      <c r="F101" s="1">
        <f t="shared" si="6"/>
        <v>28940948.805955648</v>
      </c>
      <c r="G101" s="1">
        <f t="shared" si="7"/>
        <v>34110449.589693122</v>
      </c>
    </row>
    <row r="102" spans="1:7" x14ac:dyDescent="0.2">
      <c r="A102" s="4">
        <v>373</v>
      </c>
      <c r="B102" s="1">
        <v>1217773.23</v>
      </c>
      <c r="C102" s="1">
        <v>1626223.29</v>
      </c>
      <c r="D102">
        <f t="shared" si="4"/>
        <v>2.1010876621020264E-5</v>
      </c>
      <c r="E102">
        <f t="shared" si="5"/>
        <v>2.5721866379258256E-5</v>
      </c>
      <c r="F102" s="1">
        <f t="shared" si="6"/>
        <v>1584315.9963965192</v>
      </c>
      <c r="G102" s="1">
        <f t="shared" si="7"/>
        <v>2118541.1197372396</v>
      </c>
    </row>
    <row r="103" spans="1:7" x14ac:dyDescent="0.2">
      <c r="A103" s="4">
        <v>374</v>
      </c>
      <c r="B103" s="1">
        <v>5969222.5599999996</v>
      </c>
      <c r="C103" s="1">
        <v>5251122.91</v>
      </c>
      <c r="D103">
        <f t="shared" si="4"/>
        <v>1.0299010985121649E-4</v>
      </c>
      <c r="E103">
        <f t="shared" si="5"/>
        <v>8.3056664273995103E-5</v>
      </c>
      <c r="F103" s="1">
        <f t="shared" si="6"/>
        <v>7765924.3567531696</v>
      </c>
      <c r="G103" s="1">
        <f t="shared" si="7"/>
        <v>6840831.6853150418</v>
      </c>
    </row>
    <row r="104" spans="1:7" x14ac:dyDescent="0.2">
      <c r="A104" s="4">
        <v>375</v>
      </c>
      <c r="B104" s="1">
        <v>5928161.79</v>
      </c>
      <c r="C104" s="1">
        <v>5086518.17</v>
      </c>
      <c r="D104">
        <f t="shared" si="4"/>
        <v>1.0228166697270611E-4</v>
      </c>
      <c r="E104">
        <f t="shared" si="5"/>
        <v>8.0453121972204211E-5</v>
      </c>
      <c r="F104" s="1">
        <f t="shared" si="6"/>
        <v>7712504.530193707</v>
      </c>
      <c r="G104" s="1">
        <f t="shared" si="7"/>
        <v>6626395.0133413803</v>
      </c>
    </row>
    <row r="105" spans="1:7" x14ac:dyDescent="0.2">
      <c r="A105" s="4">
        <v>376</v>
      </c>
      <c r="B105" s="1">
        <v>11167747.960000001</v>
      </c>
      <c r="C105" s="1">
        <v>7400829.9900000002</v>
      </c>
      <c r="D105">
        <f t="shared" si="4"/>
        <v>1.9268297967283348E-4</v>
      </c>
      <c r="E105">
        <f t="shared" si="5"/>
        <v>1.1705843918788497E-4</v>
      </c>
      <c r="F105" s="1">
        <f t="shared" si="6"/>
        <v>14529176.12317081</v>
      </c>
      <c r="G105" s="1">
        <f t="shared" si="7"/>
        <v>9641334.465207139</v>
      </c>
    </row>
    <row r="106" spans="1:7" x14ac:dyDescent="0.2">
      <c r="A106" s="4">
        <v>377</v>
      </c>
      <c r="B106" s="1">
        <v>14784569.49</v>
      </c>
      <c r="C106" s="1">
        <v>17385570.739999998</v>
      </c>
      <c r="D106">
        <f t="shared" si="4"/>
        <v>2.5508588774717151E-4</v>
      </c>
      <c r="E106">
        <f t="shared" si="5"/>
        <v>2.7498642422063829E-4</v>
      </c>
      <c r="F106" s="1">
        <f t="shared" si="6"/>
        <v>19234640.215274666</v>
      </c>
      <c r="G106" s="1">
        <f t="shared" si="7"/>
        <v>22648824.874959566</v>
      </c>
    </row>
    <row r="107" spans="1:7" x14ac:dyDescent="0.2">
      <c r="A107" s="4">
        <v>391</v>
      </c>
      <c r="B107" s="1">
        <v>248689481.38</v>
      </c>
      <c r="C107" s="1">
        <v>261255758.5</v>
      </c>
      <c r="D107">
        <f t="shared" si="4"/>
        <v>4.290769316895475E-3</v>
      </c>
      <c r="E107">
        <f t="shared" si="5"/>
        <v>4.1322650784006206E-3</v>
      </c>
      <c r="F107" s="1">
        <f t="shared" si="6"/>
        <v>323543590.69454026</v>
      </c>
      <c r="G107" s="1">
        <f t="shared" si="7"/>
        <v>340347522.11081159</v>
      </c>
    </row>
    <row r="108" spans="1:7" x14ac:dyDescent="0.2">
      <c r="A108" s="4">
        <v>410</v>
      </c>
      <c r="B108" s="1">
        <v>400086512.82999998</v>
      </c>
      <c r="C108" s="1">
        <v>447611800.25</v>
      </c>
      <c r="D108">
        <f t="shared" si="4"/>
        <v>6.9029012559303597E-3</v>
      </c>
      <c r="E108">
        <f t="shared" si="5"/>
        <v>7.0798462834766917E-3</v>
      </c>
      <c r="F108" s="1">
        <f t="shared" si="6"/>
        <v>520510261.35553181</v>
      </c>
      <c r="G108" s="1">
        <f t="shared" si="7"/>
        <v>583120417.92811644</v>
      </c>
    </row>
    <row r="109" spans="1:7" x14ac:dyDescent="0.2">
      <c r="A109" s="4">
        <v>420</v>
      </c>
      <c r="B109" s="1">
        <v>168914202.13999999</v>
      </c>
      <c r="C109" s="1">
        <v>174448224.81</v>
      </c>
      <c r="D109">
        <f t="shared" si="4"/>
        <v>2.9143648203710446E-3</v>
      </c>
      <c r="E109">
        <f t="shared" si="5"/>
        <v>2.7592360509494517E-3</v>
      </c>
      <c r="F109" s="1">
        <f t="shared" si="6"/>
        <v>219756409.38416517</v>
      </c>
      <c r="G109" s="1">
        <f t="shared" si="7"/>
        <v>227260143.05523264</v>
      </c>
    </row>
    <row r="110" spans="1:7" x14ac:dyDescent="0.2">
      <c r="A110" s="4">
        <v>511</v>
      </c>
      <c r="B110" s="1">
        <v>24466725.460000001</v>
      </c>
      <c r="C110" s="1">
        <v>26505539.280000001</v>
      </c>
      <c r="D110">
        <f t="shared" si="4"/>
        <v>4.2213717406190253E-4</v>
      </c>
      <c r="E110">
        <f t="shared" si="5"/>
        <v>4.192363643189129E-4</v>
      </c>
      <c r="F110" s="1">
        <f t="shared" si="6"/>
        <v>31831069.669449031</v>
      </c>
      <c r="G110" s="1">
        <f t="shared" si="7"/>
        <v>34529744.599519655</v>
      </c>
    </row>
    <row r="111" spans="1:7" x14ac:dyDescent="0.2">
      <c r="A111" s="4">
        <v>512</v>
      </c>
      <c r="B111" s="1">
        <v>91475285.140000001</v>
      </c>
      <c r="C111" s="1">
        <v>99078772.049999997</v>
      </c>
      <c r="D111">
        <f t="shared" si="4"/>
        <v>1.5782708000151953E-3</v>
      </c>
      <c r="E111">
        <f t="shared" si="5"/>
        <v>1.5671223941769322E-3</v>
      </c>
      <c r="F111" s="1">
        <f t="shared" si="6"/>
        <v>119008821.96452519</v>
      </c>
      <c r="G111" s="1">
        <f t="shared" si="7"/>
        <v>129073574.31893483</v>
      </c>
    </row>
    <row r="112" spans="1:7" x14ac:dyDescent="0.2">
      <c r="A112" s="4">
        <v>513</v>
      </c>
      <c r="B112" s="1">
        <v>80229772.739999995</v>
      </c>
      <c r="C112" s="1">
        <v>84833594.700000003</v>
      </c>
      <c r="D112">
        <f t="shared" si="4"/>
        <v>1.3842461099039226E-3</v>
      </c>
      <c r="E112">
        <f t="shared" si="5"/>
        <v>1.3418073648087721E-3</v>
      </c>
      <c r="F112" s="1">
        <f t="shared" si="6"/>
        <v>104378474.75037646</v>
      </c>
      <c r="G112" s="1">
        <f t="shared" si="7"/>
        <v>110515855.8558543</v>
      </c>
    </row>
    <row r="113" spans="1:7" x14ac:dyDescent="0.2">
      <c r="A113" s="4">
        <v>514</v>
      </c>
      <c r="B113" s="1">
        <v>45213566.049999997</v>
      </c>
      <c r="C113" s="1">
        <v>52561921.780000001</v>
      </c>
      <c r="D113">
        <f t="shared" si="4"/>
        <v>7.8009323449563801E-4</v>
      </c>
      <c r="E113">
        <f t="shared" si="5"/>
        <v>8.3136844551167657E-4</v>
      </c>
      <c r="F113" s="1">
        <f t="shared" si="6"/>
        <v>58822590.431837276</v>
      </c>
      <c r="G113" s="1">
        <f t="shared" si="7"/>
        <v>68474356.078950509</v>
      </c>
    </row>
    <row r="114" spans="1:7" x14ac:dyDescent="0.2">
      <c r="A114" s="4">
        <v>515</v>
      </c>
      <c r="B114" s="1">
        <v>152086239.31999999</v>
      </c>
      <c r="C114" s="1">
        <v>163082494.49000001</v>
      </c>
      <c r="D114">
        <f t="shared" si="4"/>
        <v>2.6240232018464394E-3</v>
      </c>
      <c r="E114">
        <f t="shared" si="5"/>
        <v>2.5794650450910103E-3</v>
      </c>
      <c r="F114" s="1">
        <f t="shared" si="6"/>
        <v>197863326.15183637</v>
      </c>
      <c r="G114" s="1">
        <f t="shared" si="7"/>
        <v>212453586.54676926</v>
      </c>
    </row>
    <row r="115" spans="1:7" x14ac:dyDescent="0.2">
      <c r="A115" s="4">
        <v>516</v>
      </c>
      <c r="B115" s="1">
        <v>450570342.69999999</v>
      </c>
      <c r="C115" s="1">
        <v>452034352.20999998</v>
      </c>
      <c r="D115">
        <f t="shared" si="4"/>
        <v>7.7739251006203498E-3</v>
      </c>
      <c r="E115">
        <f t="shared" si="5"/>
        <v>7.1497974957548316E-3</v>
      </c>
      <c r="F115" s="1">
        <f t="shared" si="6"/>
        <v>586189434.82726383</v>
      </c>
      <c r="G115" s="1">
        <f t="shared" si="7"/>
        <v>588881839.6461848</v>
      </c>
    </row>
    <row r="116" spans="1:7" x14ac:dyDescent="0.2">
      <c r="A116" s="4">
        <v>517</v>
      </c>
      <c r="B116" s="1">
        <v>26538071.620000001</v>
      </c>
      <c r="C116" s="1">
        <v>30350282.09</v>
      </c>
      <c r="D116">
        <f t="shared" si="4"/>
        <v>4.5787518959307339E-4</v>
      </c>
      <c r="E116">
        <f t="shared" si="5"/>
        <v>4.8004840743104535E-4</v>
      </c>
      <c r="F116" s="1">
        <f t="shared" si="6"/>
        <v>34525879.158209518</v>
      </c>
      <c r="G116" s="1">
        <f t="shared" si="7"/>
        <v>39538433.005279168</v>
      </c>
    </row>
    <row r="117" spans="1:7" x14ac:dyDescent="0.2">
      <c r="A117" s="4">
        <v>518</v>
      </c>
      <c r="B117" s="1">
        <v>983208093.91999996</v>
      </c>
      <c r="C117" s="1">
        <v>1004823273.1900001</v>
      </c>
      <c r="D117">
        <f t="shared" si="4"/>
        <v>1.6963801999606794E-2</v>
      </c>
      <c r="E117">
        <f t="shared" si="5"/>
        <v>1.5893223351734247E-2</v>
      </c>
      <c r="F117" s="1">
        <f t="shared" si="6"/>
        <v>1279148098.02806</v>
      </c>
      <c r="G117" s="1">
        <f t="shared" si="7"/>
        <v>1309020375.8685443</v>
      </c>
    </row>
    <row r="118" spans="1:7" x14ac:dyDescent="0.2">
      <c r="A118" s="4">
        <v>519</v>
      </c>
      <c r="B118" s="1">
        <v>1423175556.3900001</v>
      </c>
      <c r="C118" s="1">
        <v>1578442346.1600001</v>
      </c>
      <c r="D118">
        <f t="shared" si="4"/>
        <v>2.4554790078085524E-2</v>
      </c>
      <c r="E118">
        <f t="shared" si="5"/>
        <v>2.4966118346079296E-2</v>
      </c>
      <c r="F118" s="1">
        <f t="shared" si="6"/>
        <v>1851543246.4131222</v>
      </c>
      <c r="G118" s="1">
        <f t="shared" si="7"/>
        <v>2056295120.1335223</v>
      </c>
    </row>
    <row r="119" spans="1:7" x14ac:dyDescent="0.2">
      <c r="A119" s="4">
        <v>529</v>
      </c>
      <c r="B119" s="1">
        <v>2535769563.9000001</v>
      </c>
      <c r="C119" s="1">
        <v>2532141584.4499998</v>
      </c>
      <c r="D119">
        <f t="shared" si="4"/>
        <v>4.3750954721217893E-2</v>
      </c>
      <c r="E119">
        <f t="shared" si="5"/>
        <v>4.005071621412222E-2</v>
      </c>
      <c r="F119" s="1">
        <f t="shared" si="6"/>
        <v>3299021676.8537402</v>
      </c>
      <c r="G119" s="1">
        <f t="shared" si="7"/>
        <v>3298714328.2482014</v>
      </c>
    </row>
    <row r="120" spans="1:7" x14ac:dyDescent="0.2">
      <c r="A120" s="4">
        <v>610</v>
      </c>
      <c r="B120" s="1">
        <v>363135412.80000001</v>
      </c>
      <c r="C120" s="1">
        <v>400813092.47000003</v>
      </c>
      <c r="D120">
        <f t="shared" si="4"/>
        <v>6.2653646566562006E-3</v>
      </c>
      <c r="E120">
        <f t="shared" si="5"/>
        <v>6.3396342131901359E-3</v>
      </c>
      <c r="F120" s="1">
        <f t="shared" si="6"/>
        <v>472437091.88540238</v>
      </c>
      <c r="G120" s="1">
        <f t="shared" si="7"/>
        <v>522154013.50372958</v>
      </c>
    </row>
    <row r="121" spans="1:7" x14ac:dyDescent="0.2">
      <c r="A121" s="4">
        <v>620</v>
      </c>
      <c r="B121" s="1">
        <v>94463915.189999998</v>
      </c>
      <c r="C121" s="1">
        <v>138457787.09</v>
      </c>
      <c r="D121">
        <f t="shared" si="4"/>
        <v>1.6298351928754518E-3</v>
      </c>
      <c r="E121">
        <f t="shared" si="5"/>
        <v>2.1899776744045826E-3</v>
      </c>
      <c r="F121" s="1">
        <f t="shared" si="6"/>
        <v>122897012.53965086</v>
      </c>
      <c r="G121" s="1">
        <f t="shared" si="7"/>
        <v>180374071.07728046</v>
      </c>
    </row>
    <row r="122" spans="1:7" x14ac:dyDescent="0.2">
      <c r="A122" s="4">
        <v>630</v>
      </c>
      <c r="B122" s="1">
        <v>12565746.27</v>
      </c>
      <c r="C122" s="1">
        <v>14335453.880000001</v>
      </c>
      <c r="D122">
        <f t="shared" si="4"/>
        <v>2.1680337358870631E-4</v>
      </c>
      <c r="E122">
        <f t="shared" si="5"/>
        <v>2.2674292728114804E-4</v>
      </c>
      <c r="F122" s="1">
        <f t="shared" si="6"/>
        <v>16347963.916254664</v>
      </c>
      <c r="G122" s="1">
        <f t="shared" si="7"/>
        <v>18675325.03170383</v>
      </c>
    </row>
    <row r="123" spans="1:7" x14ac:dyDescent="0.2">
      <c r="A123" s="4">
        <v>640</v>
      </c>
      <c r="B123" s="1">
        <v>21458972</v>
      </c>
      <c r="C123" s="1">
        <v>24282234.780000001</v>
      </c>
      <c r="D123">
        <f t="shared" si="4"/>
        <v>3.7024283503582061E-4</v>
      </c>
      <c r="E123">
        <f t="shared" si="5"/>
        <v>3.8407050387338722E-4</v>
      </c>
      <c r="F123" s="1">
        <f t="shared" si="6"/>
        <v>27917999.647458997</v>
      </c>
      <c r="G123" s="1">
        <f t="shared" si="7"/>
        <v>31633363.743390825</v>
      </c>
    </row>
    <row r="124" spans="1:7" x14ac:dyDescent="0.2">
      <c r="A124" s="4">
        <v>710</v>
      </c>
      <c r="B124" s="1">
        <v>105948055.89</v>
      </c>
      <c r="C124" s="1">
        <v>101074722.06</v>
      </c>
      <c r="D124">
        <f t="shared" si="4"/>
        <v>1.82797706149424E-3</v>
      </c>
      <c r="E124">
        <f t="shared" si="5"/>
        <v>1.5986922036690218E-3</v>
      </c>
      <c r="F124" s="1">
        <f t="shared" si="6"/>
        <v>137837813.80515274</v>
      </c>
      <c r="G124" s="1">
        <f t="shared" si="7"/>
        <v>131673772.08705617</v>
      </c>
    </row>
    <row r="125" spans="1:7" x14ac:dyDescent="0.2">
      <c r="A125" s="4">
        <v>720</v>
      </c>
      <c r="B125" s="1">
        <v>21918287.260000002</v>
      </c>
      <c r="C125" s="1">
        <v>24149985.420000002</v>
      </c>
      <c r="D125">
        <f t="shared" si="4"/>
        <v>3.7816764075520063E-4</v>
      </c>
      <c r="E125">
        <f t="shared" si="5"/>
        <v>3.8197872448024966E-4</v>
      </c>
      <c r="F125" s="1">
        <f t="shared" si="6"/>
        <v>28515566.1695996</v>
      </c>
      <c r="G125" s="1">
        <f t="shared" si="7"/>
        <v>31461077.619497634</v>
      </c>
    </row>
    <row r="126" spans="1:7" x14ac:dyDescent="0.2">
      <c r="A126" s="4">
        <v>730</v>
      </c>
      <c r="B126" s="1">
        <v>6713360.8200000003</v>
      </c>
      <c r="C126" s="1">
        <v>7938657.2599999998</v>
      </c>
      <c r="D126">
        <f t="shared" si="4"/>
        <v>1.1582911532832056E-4</v>
      </c>
      <c r="E126">
        <f t="shared" si="5"/>
        <v>1.255652175984077E-4</v>
      </c>
      <c r="F126" s="1">
        <f t="shared" si="6"/>
        <v>8734043.9703274257</v>
      </c>
      <c r="G126" s="1">
        <f t="shared" si="7"/>
        <v>10341981.906316547</v>
      </c>
    </row>
    <row r="127" spans="1:7" x14ac:dyDescent="0.2">
      <c r="A127" s="4">
        <v>740</v>
      </c>
      <c r="B127" s="1">
        <v>1044279.88</v>
      </c>
      <c r="C127" s="1">
        <v>595409.99</v>
      </c>
      <c r="D127">
        <f t="shared" si="4"/>
        <v>1.8017505374538286E-5</v>
      </c>
      <c r="E127">
        <f t="shared" si="5"/>
        <v>9.4175604898977274E-6</v>
      </c>
      <c r="F127" s="1">
        <f t="shared" si="6"/>
        <v>1358602.1418774638</v>
      </c>
      <c r="G127" s="1">
        <f t="shared" si="7"/>
        <v>775662.57639646681</v>
      </c>
    </row>
    <row r="128" spans="1:7" x14ac:dyDescent="0.2">
      <c r="A128" s="4">
        <v>750</v>
      </c>
      <c r="B128" s="1">
        <v>6560439.0899999999</v>
      </c>
      <c r="C128" s="1">
        <v>6338728.9800000004</v>
      </c>
      <c r="D128">
        <f t="shared" si="4"/>
        <v>1.1319067697005333E-4</v>
      </c>
      <c r="E128">
        <f t="shared" si="5"/>
        <v>1.0025925765575034E-4</v>
      </c>
      <c r="F128" s="1">
        <f t="shared" si="6"/>
        <v>8535093.6755868942</v>
      </c>
      <c r="G128" s="1">
        <f t="shared" si="7"/>
        <v>8257696.2669130703</v>
      </c>
    </row>
    <row r="129" spans="1:7" x14ac:dyDescent="0.2">
      <c r="A129" s="4">
        <v>760</v>
      </c>
      <c r="B129" s="1">
        <v>55085948.719999999</v>
      </c>
      <c r="C129" s="1">
        <v>70394343.069999993</v>
      </c>
      <c r="D129">
        <f t="shared" si="4"/>
        <v>9.504266012710504E-4</v>
      </c>
      <c r="E129">
        <f t="shared" si="5"/>
        <v>1.1134226753708614E-3</v>
      </c>
      <c r="F129" s="1">
        <f t="shared" si="6"/>
        <v>71666503.733026177</v>
      </c>
      <c r="G129" s="1">
        <f t="shared" si="7"/>
        <v>91705309.663032293</v>
      </c>
    </row>
    <row r="130" spans="1:7" x14ac:dyDescent="0.2">
      <c r="A130" s="4">
        <v>770</v>
      </c>
      <c r="B130" s="1">
        <v>25862164.449999999</v>
      </c>
      <c r="C130" s="1">
        <v>25988716.84</v>
      </c>
      <c r="D130">
        <f t="shared" si="4"/>
        <v>4.4621341069509826E-4</v>
      </c>
      <c r="E130">
        <f t="shared" si="5"/>
        <v>4.1106181791730387E-4</v>
      </c>
      <c r="F130" s="1">
        <f t="shared" si="6"/>
        <v>33646527.801873572</v>
      </c>
      <c r="G130" s="1">
        <f t="shared" si="7"/>
        <v>33856460.925945573</v>
      </c>
    </row>
    <row r="131" spans="1:7" x14ac:dyDescent="0.2">
      <c r="A131" s="4">
        <v>780</v>
      </c>
      <c r="B131" s="1">
        <v>25786898.550000001</v>
      </c>
      <c r="C131" s="1">
        <v>22407731.18</v>
      </c>
      <c r="D131">
        <f t="shared" si="4"/>
        <v>4.4491480887029873E-4</v>
      </c>
      <c r="E131">
        <f t="shared" si="5"/>
        <v>3.5442160422773122E-4</v>
      </c>
      <c r="F131" s="1">
        <f t="shared" si="6"/>
        <v>33548607.29712313</v>
      </c>
      <c r="G131" s="1">
        <f t="shared" si="7"/>
        <v>29191378.697354808</v>
      </c>
    </row>
    <row r="132" spans="1:7" x14ac:dyDescent="0.2">
      <c r="A132" s="4">
        <v>810</v>
      </c>
      <c r="B132" s="1">
        <v>11251710.060000001</v>
      </c>
      <c r="C132" s="1">
        <v>12092149.76</v>
      </c>
      <c r="D132">
        <f t="shared" ref="D132:D138" si="8">B132/$B$141</f>
        <v>1.9413162157140909E-4</v>
      </c>
      <c r="E132">
        <f t="shared" ref="E132:E138" si="9">C132/$C$141</f>
        <v>1.9126073416689279E-4</v>
      </c>
      <c r="F132" s="1">
        <f t="shared" ref="F132:F138" si="10">B132+(D132*$B$2)+(D132*$B$139)</f>
        <v>14638410.334306361</v>
      </c>
      <c r="G132" s="1">
        <f t="shared" ref="G132:G138" si="11">C132+(E132*$C$2)+(E132*$C$139)</f>
        <v>15752889.932218835</v>
      </c>
    </row>
    <row r="133" spans="1:7" x14ac:dyDescent="0.2">
      <c r="A133" s="4">
        <v>820</v>
      </c>
      <c r="B133" s="1">
        <v>6019763.1900000004</v>
      </c>
      <c r="C133" s="1">
        <v>6670343.6600000001</v>
      </c>
      <c r="D133">
        <f t="shared" si="8"/>
        <v>1.0386211369817135E-4</v>
      </c>
      <c r="E133">
        <f t="shared" si="9"/>
        <v>1.0550438514888842E-4</v>
      </c>
      <c r="F133" s="1">
        <f t="shared" si="10"/>
        <v>7831677.4268686613</v>
      </c>
      <c r="G133" s="1">
        <f t="shared" si="11"/>
        <v>8689702.9536999166</v>
      </c>
    </row>
    <row r="134" spans="1:7" x14ac:dyDescent="0.2">
      <c r="A134" s="4">
        <v>830</v>
      </c>
      <c r="B134" s="1">
        <v>1659114.89</v>
      </c>
      <c r="C134" s="1">
        <v>2181170.14</v>
      </c>
      <c r="D134">
        <f t="shared" si="8"/>
        <v>2.8625574446145119E-5</v>
      </c>
      <c r="E134">
        <f t="shared" si="9"/>
        <v>3.449942405603355E-5</v>
      </c>
      <c r="F134" s="1">
        <f t="shared" si="10"/>
        <v>2158498.967896224</v>
      </c>
      <c r="G134" s="1">
        <f t="shared" si="11"/>
        <v>2841490.8697642819</v>
      </c>
    </row>
    <row r="135" spans="1:7" x14ac:dyDescent="0.2">
      <c r="A135" s="4">
        <v>840</v>
      </c>
      <c r="B135" s="1">
        <v>19730130.870000001</v>
      </c>
      <c r="C135" s="1">
        <v>22312773.25</v>
      </c>
      <c r="D135">
        <f t="shared" si="8"/>
        <v>3.404142374078573E-4</v>
      </c>
      <c r="E135">
        <f t="shared" si="9"/>
        <v>3.5291966092011138E-4</v>
      </c>
      <c r="F135" s="1">
        <f t="shared" si="10"/>
        <v>25668787.240739208</v>
      </c>
      <c r="G135" s="1">
        <f t="shared" si="11"/>
        <v>29067673.496115115</v>
      </c>
    </row>
    <row r="136" spans="1:7" x14ac:dyDescent="0.2">
      <c r="A136" s="4">
        <v>860</v>
      </c>
      <c r="B136" s="1">
        <v>4019159.11</v>
      </c>
      <c r="C136" s="1">
        <v>5303620.41</v>
      </c>
      <c r="D136">
        <f t="shared" si="8"/>
        <v>6.9344648166111853E-5</v>
      </c>
      <c r="E136">
        <f t="shared" si="9"/>
        <v>8.3887013764467056E-5</v>
      </c>
      <c r="F136" s="1">
        <f t="shared" si="10"/>
        <v>5228902.9789526546</v>
      </c>
      <c r="G136" s="1">
        <f t="shared" si="11"/>
        <v>6909222.1167627461</v>
      </c>
    </row>
    <row r="137" spans="1:7" x14ac:dyDescent="0.2">
      <c r="A137" s="4">
        <v>870</v>
      </c>
      <c r="B137" s="1">
        <v>4640733.12</v>
      </c>
      <c r="C137" s="1">
        <v>5771105.9400000004</v>
      </c>
      <c r="D137">
        <f t="shared" si="8"/>
        <v>8.0068988719190701E-5</v>
      </c>
      <c r="E137">
        <f t="shared" si="9"/>
        <v>9.1281201518903123E-5</v>
      </c>
      <c r="F137" s="1">
        <f t="shared" si="10"/>
        <v>6037567.2053680522</v>
      </c>
      <c r="G137" s="1">
        <f t="shared" si="11"/>
        <v>7518232.7761705061</v>
      </c>
    </row>
    <row r="138" spans="1:7" x14ac:dyDescent="0.2">
      <c r="A138" s="4">
        <v>900</v>
      </c>
      <c r="B138" s="1">
        <v>336603038.24000001</v>
      </c>
      <c r="C138" s="1">
        <v>329064247.75999999</v>
      </c>
      <c r="D138">
        <f t="shared" si="8"/>
        <v>5.8075877614103951E-3</v>
      </c>
      <c r="E138">
        <f t="shared" si="9"/>
        <v>5.2047874748330858E-3</v>
      </c>
      <c r="F138" s="1">
        <f t="shared" si="10"/>
        <v>437918624.56961811</v>
      </c>
      <c r="G138" s="1">
        <f t="shared" si="11"/>
        <v>428684144.54632658</v>
      </c>
    </row>
    <row r="139" spans="1:7" x14ac:dyDescent="0.2">
      <c r="A139" s="4" t="s">
        <v>0</v>
      </c>
      <c r="B139" s="1">
        <v>3389853511.4899998</v>
      </c>
      <c r="C139" s="1">
        <v>3671736591.77</v>
      </c>
      <c r="D139" s="9" t="s">
        <v>16</v>
      </c>
      <c r="E139" s="9" t="s">
        <v>16</v>
      </c>
      <c r="F139" s="9" t="s">
        <v>16</v>
      </c>
      <c r="G139" s="9" t="s">
        <v>16</v>
      </c>
    </row>
    <row r="140" spans="1:7" x14ac:dyDescent="0.2">
      <c r="A140" s="4" t="s">
        <v>10</v>
      </c>
      <c r="B140" s="1">
        <f>B2+B139</f>
        <v>17445381885.199997</v>
      </c>
      <c r="C140" s="1">
        <f>C2+C139</f>
        <v>19140050822.060001</v>
      </c>
      <c r="D140" s="9" t="s">
        <v>16</v>
      </c>
      <c r="E140" s="9" t="s">
        <v>16</v>
      </c>
      <c r="F140" s="9" t="s">
        <v>16</v>
      </c>
      <c r="G140" s="9" t="s">
        <v>16</v>
      </c>
    </row>
    <row r="141" spans="1:7" x14ac:dyDescent="0.2">
      <c r="A141" s="4" t="s">
        <v>11</v>
      </c>
      <c r="B141" s="1">
        <f>SUM(B3:B138)</f>
        <v>57959182378.029991</v>
      </c>
      <c r="C141" s="1">
        <f>SUM(C3:C138)</f>
        <v>63223378351.400002</v>
      </c>
      <c r="D141" s="9" t="s">
        <v>16</v>
      </c>
      <c r="E141" s="9" t="s">
        <v>16</v>
      </c>
      <c r="F141" s="9" t="s">
        <v>16</v>
      </c>
      <c r="G141" s="9" t="s">
        <v>16</v>
      </c>
    </row>
    <row r="142" spans="1:7" x14ac:dyDescent="0.2">
      <c r="A142" s="5" t="s">
        <v>5</v>
      </c>
      <c r="B142" s="6">
        <v>75404564263.229996</v>
      </c>
      <c r="C142" s="6">
        <v>82363429173.460007</v>
      </c>
      <c r="D142" s="10" t="s">
        <v>16</v>
      </c>
      <c r="E142" s="10" t="s">
        <v>16</v>
      </c>
      <c r="F142" s="6">
        <f>SUM(F3:F141)</f>
        <v>75404564263.229996</v>
      </c>
      <c r="G142" s="6">
        <f>SUM(G3:G141)</f>
        <v>82363429173.459991</v>
      </c>
    </row>
    <row r="143" spans="1:7" x14ac:dyDescent="0.2">
      <c r="A143" s="4" t="s">
        <v>12</v>
      </c>
      <c r="B143" s="7">
        <f>B140/B142</f>
        <v>0.23135710756579492</v>
      </c>
      <c r="C143" s="7">
        <f>C140/C142</f>
        <v>0.23238530758293763</v>
      </c>
      <c r="G143" s="1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9851-7BFF-4668-8C18-5ABC1DCC56BC}">
  <dimension ref="A1:O142"/>
  <sheetViews>
    <sheetView workbookViewId="0">
      <pane ySplit="2" topLeftCell="A9" activePane="bottomLeft" state="frozen"/>
      <selection pane="bottomLeft" activeCell="F10" sqref="F10:I21"/>
    </sheetView>
  </sheetViews>
  <sheetFormatPr baseColWidth="10" defaultColWidth="8.83203125" defaultRowHeight="15" x14ac:dyDescent="0.2"/>
  <cols>
    <col min="1" max="1" width="15.83203125" style="13" bestFit="1" customWidth="1"/>
    <col min="2" max="2" width="68.1640625" style="12" customWidth="1"/>
    <col min="3" max="3" width="22.33203125" style="13" customWidth="1"/>
    <col min="4" max="5" width="19.5" bestFit="1" customWidth="1"/>
    <col min="6" max="6" width="11.5" style="12" customWidth="1"/>
    <col min="7" max="7" width="21.1640625" style="12" customWidth="1"/>
    <col min="8" max="8" width="12.1640625" style="12" customWidth="1"/>
    <col min="9" max="9" width="26.1640625" style="12" customWidth="1"/>
    <col min="10" max="11" width="14.6640625" style="12" customWidth="1"/>
    <col min="12" max="12" width="17.33203125" bestFit="1" customWidth="1"/>
    <col min="13" max="13" width="19.1640625" customWidth="1"/>
    <col min="14" max="14" width="18.1640625" customWidth="1"/>
    <col min="15" max="15" width="17.5" customWidth="1"/>
  </cols>
  <sheetData>
    <row r="1" spans="1:15" x14ac:dyDescent="0.2">
      <c r="L1" s="51" t="s">
        <v>256</v>
      </c>
      <c r="M1" s="51"/>
      <c r="N1" s="51" t="s">
        <v>257</v>
      </c>
      <c r="O1" s="51"/>
    </row>
    <row r="2" spans="1:15" ht="30" x14ac:dyDescent="0.2">
      <c r="A2" s="29" t="s">
        <v>22</v>
      </c>
      <c r="B2" s="30" t="s">
        <v>19</v>
      </c>
      <c r="C2" s="29" t="s">
        <v>23</v>
      </c>
      <c r="D2" s="29" t="s">
        <v>165</v>
      </c>
      <c r="E2" s="29" t="s">
        <v>166</v>
      </c>
      <c r="F2" s="49" t="s">
        <v>202</v>
      </c>
      <c r="G2" s="50"/>
      <c r="H2" s="49" t="s">
        <v>203</v>
      </c>
      <c r="I2" s="50"/>
      <c r="J2" s="28" t="s">
        <v>251</v>
      </c>
      <c r="K2" s="31" t="s">
        <v>254</v>
      </c>
      <c r="L2" s="26">
        <v>2023</v>
      </c>
      <c r="M2" s="26">
        <v>2024</v>
      </c>
      <c r="N2" s="26">
        <v>2023</v>
      </c>
      <c r="O2" s="26">
        <v>2024</v>
      </c>
    </row>
    <row r="3" spans="1:15" x14ac:dyDescent="0.2">
      <c r="A3" s="11">
        <v>0</v>
      </c>
      <c r="B3" s="15" t="s">
        <v>24</v>
      </c>
      <c r="C3" s="11" t="s">
        <v>15</v>
      </c>
      <c r="D3" s="11" t="str">
        <f>VLOOKUP(A3,'Correção Ocup Não Determinadas'!A:G,6,FALSE)</f>
        <v>-</v>
      </c>
      <c r="E3" s="11" t="str">
        <f>VLOOKUP(A3,'Correção Ocup Não Determinadas'!A:G,7,FALSE)</f>
        <v>-</v>
      </c>
      <c r="F3" s="15"/>
      <c r="G3" s="15"/>
      <c r="H3" s="15"/>
      <c r="I3" s="15"/>
      <c r="J3" s="15">
        <f>IFERROR(VLOOKUP(F3,'[1]Prod-CNAE-CF'!$A$5:$H$72,8,FALSE),'estimativa bc débitos'!$K$17)</f>
        <v>0.5</v>
      </c>
      <c r="K3" s="12">
        <f>1-J3</f>
        <v>0.5</v>
      </c>
      <c r="L3" s="18"/>
      <c r="M3" s="18"/>
      <c r="N3" s="18">
        <f>IFERROR(VLOOKUP(A3,'[2]estim bc créditos'!$H$4:$L$139,4,FALSE),0)</f>
        <v>0</v>
      </c>
      <c r="O3" s="18">
        <f>IFERROR(VLOOKUP(A3,'[2]estim bc créditos'!$H$4:$L$139,5,FALSE),0)</f>
        <v>0</v>
      </c>
    </row>
    <row r="4" spans="1:15" x14ac:dyDescent="0.2">
      <c r="A4" s="11">
        <v>10</v>
      </c>
      <c r="B4" s="15" t="s">
        <v>25</v>
      </c>
      <c r="C4" s="11" t="s">
        <v>15</v>
      </c>
      <c r="D4" s="14">
        <f>VLOOKUP(A4,'Correção Ocup Não Determinadas'!A:G,6,FALSE)</f>
        <v>12149248.658796854</v>
      </c>
      <c r="E4" s="14">
        <f>VLOOKUP(A4,'Correção Ocup Não Determinadas'!A:G,7,FALSE)</f>
        <v>12490635.555462537</v>
      </c>
      <c r="F4" s="15"/>
      <c r="G4" s="15"/>
      <c r="H4" s="15"/>
      <c r="I4" s="15"/>
      <c r="J4" s="15">
        <f>IFERROR(VLOOKUP(F4,'[1]Prod-CNAE-CF'!$A$5:$H$72,8,FALSE),'estimativa bc débitos'!$K$17)</f>
        <v>0.5</v>
      </c>
      <c r="K4" s="12">
        <f t="shared" ref="K4:K67" si="0">1-J4</f>
        <v>0.5</v>
      </c>
      <c r="L4" s="18">
        <f t="shared" ref="L4:L35" si="1">D4*$K4</f>
        <v>6074624.3293984272</v>
      </c>
      <c r="M4" s="18">
        <f t="shared" ref="M4:M35" si="2">E4*$K4</f>
        <v>6245317.7777312687</v>
      </c>
      <c r="N4" s="18">
        <f>IFERROR(VLOOKUP(A4,'[2]estim bc créditos'!$H$4:$L$139,4,FALSE),0)</f>
        <v>2232467.919121664</v>
      </c>
      <c r="O4" s="18">
        <f>IFERROR(VLOOKUP(A4,'[2]estim bc créditos'!$H$4:$L$139,5,FALSE),0)</f>
        <v>2030681.2528310888</v>
      </c>
    </row>
    <row r="5" spans="1:15" x14ac:dyDescent="0.2">
      <c r="A5" s="11">
        <v>20</v>
      </c>
      <c r="B5" s="15" t="s">
        <v>26</v>
      </c>
      <c r="C5" s="11" t="s">
        <v>15</v>
      </c>
      <c r="D5" s="14">
        <f>VLOOKUP(A5,'Correção Ocup Não Determinadas'!A:G,6,FALSE)</f>
        <v>16598380.217367442</v>
      </c>
      <c r="E5" s="14">
        <f>VLOOKUP(A5,'Correção Ocup Não Determinadas'!A:G,7,FALSE)</f>
        <v>17510304.313843317</v>
      </c>
      <c r="F5" s="15"/>
      <c r="G5" s="15"/>
      <c r="H5" s="15"/>
      <c r="I5" s="15"/>
      <c r="J5" s="15">
        <f>IFERROR(VLOOKUP(F5,'[1]Prod-CNAE-CF'!$A$5:$H$72,8,FALSE),'estimativa bc débitos'!$K$17)</f>
        <v>0.5</v>
      </c>
      <c r="K5" s="12">
        <f t="shared" si="0"/>
        <v>0.5</v>
      </c>
      <c r="L5" s="18">
        <f t="shared" si="1"/>
        <v>8299190.1086837212</v>
      </c>
      <c r="M5" s="18">
        <f t="shared" si="2"/>
        <v>8755152.1569216587</v>
      </c>
      <c r="N5" s="18">
        <f>IFERROR(VLOOKUP(A5,'[2]estim bc créditos'!$H$4:$L$139,4,FALSE),0)</f>
        <v>2178551.415479477</v>
      </c>
      <c r="O5" s="18">
        <f>IFERROR(VLOOKUP(A5,'[2]estim bc créditos'!$H$4:$L$139,5,FALSE),0)</f>
        <v>2147569.4427510398</v>
      </c>
    </row>
    <row r="6" spans="1:15" x14ac:dyDescent="0.2">
      <c r="A6" s="11">
        <v>30</v>
      </c>
      <c r="B6" s="15" t="s">
        <v>27</v>
      </c>
      <c r="C6" s="11" t="s">
        <v>15</v>
      </c>
      <c r="D6" s="14">
        <f>VLOOKUP(A6,'Correção Ocup Não Determinadas'!A:G,6,FALSE)</f>
        <v>7681750.4176758137</v>
      </c>
      <c r="E6" s="14">
        <f>VLOOKUP(A6,'Correção Ocup Não Determinadas'!A:G,7,FALSE)</f>
        <v>9456574.9740183689</v>
      </c>
      <c r="F6" s="15"/>
      <c r="G6" s="15"/>
      <c r="H6" s="15"/>
      <c r="I6" s="15"/>
      <c r="J6" s="15">
        <f>IFERROR(VLOOKUP(F6,'[1]Prod-CNAE-CF'!$A$5:$H$72,8,FALSE),'estimativa bc débitos'!$K$17)</f>
        <v>0.5</v>
      </c>
      <c r="K6" s="12">
        <f t="shared" si="0"/>
        <v>0.5</v>
      </c>
      <c r="L6" s="18">
        <f t="shared" si="1"/>
        <v>3840875.2088379068</v>
      </c>
      <c r="M6" s="18">
        <f t="shared" si="2"/>
        <v>4728287.4870091844</v>
      </c>
      <c r="N6" s="18">
        <f>IFERROR(VLOOKUP(A6,'[2]estim bc créditos'!$H$4:$L$139,4,FALSE),0)</f>
        <v>691740.37436800043</v>
      </c>
      <c r="O6" s="18">
        <f>IFERROR(VLOOKUP(A6,'[2]estim bc créditos'!$H$4:$L$139,5,FALSE),0)</f>
        <v>683459.45000296971</v>
      </c>
    </row>
    <row r="7" spans="1:15" x14ac:dyDescent="0.2">
      <c r="A7" s="11">
        <v>40</v>
      </c>
      <c r="B7" s="15" t="s">
        <v>28</v>
      </c>
      <c r="C7" s="11" t="s">
        <v>15</v>
      </c>
      <c r="D7" s="14">
        <f>VLOOKUP(A7,'Correção Ocup Não Determinadas'!A:G,6,FALSE)</f>
        <v>28903734.398222804</v>
      </c>
      <c r="E7" s="14">
        <f>VLOOKUP(A7,'Correção Ocup Não Determinadas'!A:G,7,FALSE)</f>
        <v>25218705.388565216</v>
      </c>
      <c r="F7" s="15"/>
      <c r="G7" s="15"/>
      <c r="H7" s="15"/>
      <c r="I7" s="15"/>
      <c r="J7" s="15">
        <f>IFERROR(VLOOKUP(F7,'[1]Prod-CNAE-CF'!$A$5:$H$72,8,FALSE),'estimativa bc débitos'!$K$17)</f>
        <v>0.5</v>
      </c>
      <c r="K7" s="12">
        <f t="shared" si="0"/>
        <v>0.5</v>
      </c>
      <c r="L7" s="18">
        <f t="shared" si="1"/>
        <v>14451867.199111402</v>
      </c>
      <c r="M7" s="18">
        <f t="shared" si="2"/>
        <v>12609352.694282608</v>
      </c>
      <c r="N7" s="18">
        <f>IFERROR(VLOOKUP(A7,'[2]estim bc créditos'!$H$4:$L$139,4,FALSE),0)</f>
        <v>4142125.7240733011</v>
      </c>
      <c r="O7" s="18">
        <f>IFERROR(VLOOKUP(A7,'[2]estim bc créditos'!$H$4:$L$139,5,FALSE),0)</f>
        <v>3712413.8400277873</v>
      </c>
    </row>
    <row r="8" spans="1:15" x14ac:dyDescent="0.2">
      <c r="A8" s="11">
        <v>50</v>
      </c>
      <c r="B8" s="15" t="s">
        <v>29</v>
      </c>
      <c r="C8" s="11" t="s">
        <v>15</v>
      </c>
      <c r="D8" s="14">
        <f>VLOOKUP(A8,'Correção Ocup Não Determinadas'!A:G,6,FALSE)</f>
        <v>22230981.510653447</v>
      </c>
      <c r="E8" s="14">
        <f>VLOOKUP(A8,'Correção Ocup Não Determinadas'!A:G,7,FALSE)</f>
        <v>29497591.674154233</v>
      </c>
      <c r="F8" s="15"/>
      <c r="G8" s="15"/>
      <c r="H8" s="15"/>
      <c r="I8" s="15"/>
      <c r="J8" s="15">
        <f>IFERROR(VLOOKUP(F8,'[1]Prod-CNAE-CF'!$A$5:$H$72,8,FALSE),'estimativa bc débitos'!$K$17)</f>
        <v>0.5</v>
      </c>
      <c r="K8" s="12">
        <f t="shared" si="0"/>
        <v>0.5</v>
      </c>
      <c r="L8" s="18">
        <f t="shared" si="1"/>
        <v>11115490.755326724</v>
      </c>
      <c r="M8" s="18">
        <f t="shared" si="2"/>
        <v>14748795.837077117</v>
      </c>
      <c r="N8" s="18">
        <f>IFERROR(VLOOKUP(A8,'[2]estim bc créditos'!$H$4:$L$139,4,FALSE),0)</f>
        <v>3849709.5963670998</v>
      </c>
      <c r="O8" s="18">
        <f>IFERROR(VLOOKUP(A8,'[2]estim bc créditos'!$H$4:$L$139,5,FALSE),0)</f>
        <v>4526636.5540294917</v>
      </c>
    </row>
    <row r="9" spans="1:15" ht="30" x14ac:dyDescent="0.2">
      <c r="A9" s="11">
        <v>101</v>
      </c>
      <c r="B9" s="15" t="s">
        <v>30</v>
      </c>
      <c r="C9" s="11" t="s">
        <v>15</v>
      </c>
      <c r="D9" s="14">
        <f>VLOOKUP(A9,'Correção Ocup Não Determinadas'!A:G,6,FALSE)</f>
        <v>16850658.384392321</v>
      </c>
      <c r="E9" s="14">
        <f>VLOOKUP(A9,'Correção Ocup Não Determinadas'!A:G,7,FALSE)</f>
        <v>17326334.958651152</v>
      </c>
      <c r="F9" s="15"/>
      <c r="G9" s="15"/>
      <c r="H9" s="15"/>
      <c r="I9" s="15"/>
      <c r="J9" s="15">
        <f>IFERROR(VLOOKUP(F9,'[1]Prod-CNAE-CF'!$A$5:$H$72,8,FALSE),'estimativa bc débitos'!$K$17)</f>
        <v>0.5</v>
      </c>
      <c r="K9" s="12">
        <f t="shared" si="0"/>
        <v>0.5</v>
      </c>
      <c r="L9" s="18">
        <f t="shared" si="1"/>
        <v>8425329.1921961606</v>
      </c>
      <c r="M9" s="18">
        <f t="shared" si="2"/>
        <v>8663167.4793255758</v>
      </c>
      <c r="N9" s="18">
        <f>IFERROR(VLOOKUP(A9,'[2]estim bc créditos'!$H$4:$L$139,4,FALSE),0)</f>
        <v>2293712.9655514895</v>
      </c>
      <c r="O9" s="18">
        <f>IFERROR(VLOOKUP(A9,'[2]estim bc créditos'!$H$4:$L$139,5,FALSE),0)</f>
        <v>1924768.2719036203</v>
      </c>
    </row>
    <row r="10" spans="1:15" ht="30" x14ac:dyDescent="0.2">
      <c r="A10" s="11">
        <v>102</v>
      </c>
      <c r="B10" s="15" t="s">
        <v>31</v>
      </c>
      <c r="C10" s="11" t="s">
        <v>15</v>
      </c>
      <c r="D10" s="14">
        <f>VLOOKUP(A10,'Correção Ocup Não Determinadas'!A:G,6,FALSE)</f>
        <v>49261187.12955007</v>
      </c>
      <c r="E10" s="14">
        <f>VLOOKUP(A10,'Correção Ocup Não Determinadas'!A:G,7,FALSE)</f>
        <v>60731057.066155478</v>
      </c>
      <c r="F10" s="15"/>
      <c r="G10" s="15"/>
      <c r="H10" s="15"/>
      <c r="I10" s="15"/>
      <c r="J10" s="15">
        <f>IFERROR(VLOOKUP(F10,'[1]Prod-CNAE-CF'!$A$5:$H$72,8,FALSE),'estimativa bc débitos'!$K$17)</f>
        <v>0.5</v>
      </c>
      <c r="K10" s="12">
        <f t="shared" si="0"/>
        <v>0.5</v>
      </c>
      <c r="L10" s="18">
        <f t="shared" si="1"/>
        <v>24630593.564775035</v>
      </c>
      <c r="M10" s="18">
        <f t="shared" si="2"/>
        <v>30365528.533077739</v>
      </c>
      <c r="N10" s="18">
        <f>IFERROR(VLOOKUP(A10,'[2]estim bc créditos'!$H$4:$L$139,4,FALSE),0)</f>
        <v>5212293.717988329</v>
      </c>
      <c r="O10" s="18">
        <f>IFERROR(VLOOKUP(A10,'[2]estim bc créditos'!$H$4:$L$139,5,FALSE),0)</f>
        <v>10462236.368035438</v>
      </c>
    </row>
    <row r="11" spans="1:15" ht="30" x14ac:dyDescent="0.2">
      <c r="A11" s="11">
        <v>103</v>
      </c>
      <c r="B11" s="15" t="s">
        <v>32</v>
      </c>
      <c r="C11" s="11" t="s">
        <v>15</v>
      </c>
      <c r="D11" s="14">
        <f>VLOOKUP(A11,'Correção Ocup Não Determinadas'!A:G,6,FALSE)</f>
        <v>9622609.8007315136</v>
      </c>
      <c r="E11" s="14">
        <f>VLOOKUP(A11,'Correção Ocup Não Determinadas'!A:G,7,FALSE)</f>
        <v>8589296.8114499394</v>
      </c>
      <c r="F11" s="15"/>
      <c r="G11" s="15"/>
      <c r="H11" s="15"/>
      <c r="I11" s="15"/>
      <c r="J11" s="15">
        <f>IFERROR(VLOOKUP(F11,'[1]Prod-CNAE-CF'!$A$5:$H$72,8,FALSE),'estimativa bc débitos'!$K$17)</f>
        <v>0.5</v>
      </c>
      <c r="K11" s="12">
        <f t="shared" si="0"/>
        <v>0.5</v>
      </c>
      <c r="L11" s="18">
        <f t="shared" si="1"/>
        <v>4811304.9003657568</v>
      </c>
      <c r="M11" s="18">
        <f t="shared" si="2"/>
        <v>4294648.4057249697</v>
      </c>
      <c r="N11" s="18">
        <f>IFERROR(VLOOKUP(A11,'[2]estim bc créditos'!$H$4:$L$139,4,FALSE),0)</f>
        <v>974264.23401271284</v>
      </c>
      <c r="O11" s="18">
        <f>IFERROR(VLOOKUP(A11,'[2]estim bc créditos'!$H$4:$L$139,5,FALSE),0)</f>
        <v>614573.844621478</v>
      </c>
    </row>
    <row r="12" spans="1:15" x14ac:dyDescent="0.2">
      <c r="A12" s="11">
        <v>104</v>
      </c>
      <c r="B12" s="15" t="s">
        <v>33</v>
      </c>
      <c r="C12" s="11" t="s">
        <v>15</v>
      </c>
      <c r="D12" s="14">
        <f>VLOOKUP(A12,'Correção Ocup Não Determinadas'!A:G,6,FALSE)</f>
        <v>31151268.236113429</v>
      </c>
      <c r="E12" s="14">
        <f>VLOOKUP(A12,'Correção Ocup Não Determinadas'!A:G,7,FALSE)</f>
        <v>40638869.22457584</v>
      </c>
      <c r="F12" s="15"/>
      <c r="G12" s="15"/>
      <c r="H12" s="15"/>
      <c r="I12" s="15"/>
      <c r="J12" s="15">
        <f>IFERROR(VLOOKUP(F12,'[1]Prod-CNAE-CF'!$A$5:$H$72,8,FALSE),'estimativa bc débitos'!$K$17)</f>
        <v>0.5</v>
      </c>
      <c r="K12" s="12">
        <f t="shared" si="0"/>
        <v>0.5</v>
      </c>
      <c r="L12" s="18">
        <f t="shared" si="1"/>
        <v>15575634.118056715</v>
      </c>
      <c r="M12" s="18">
        <f t="shared" si="2"/>
        <v>20319434.61228792</v>
      </c>
      <c r="N12" s="18">
        <f>IFERROR(VLOOKUP(A12,'[2]estim bc créditos'!$H$4:$L$139,4,FALSE),0)</f>
        <v>4378475.0821894184</v>
      </c>
      <c r="O12" s="18">
        <f>IFERROR(VLOOKUP(A12,'[2]estim bc créditos'!$H$4:$L$139,5,FALSE),0)</f>
        <v>5963356.7721020281</v>
      </c>
    </row>
    <row r="13" spans="1:15" ht="45" x14ac:dyDescent="0.2">
      <c r="A13" s="11">
        <v>105</v>
      </c>
      <c r="B13" s="15" t="s">
        <v>34</v>
      </c>
      <c r="C13" s="11" t="s">
        <v>15</v>
      </c>
      <c r="D13" s="14">
        <f>VLOOKUP(A13,'Correção Ocup Não Determinadas'!A:G,6,FALSE)</f>
        <v>22792949.303827278</v>
      </c>
      <c r="E13" s="14">
        <f>VLOOKUP(A13,'Correção Ocup Não Determinadas'!A:G,7,FALSE)</f>
        <v>23617336.613132589</v>
      </c>
      <c r="F13" s="15"/>
      <c r="G13" s="15"/>
      <c r="H13" s="15"/>
      <c r="I13" s="15"/>
      <c r="J13" s="15">
        <f>IFERROR(VLOOKUP(F13,'[1]Prod-CNAE-CF'!$A$5:$H$72,8,FALSE),'estimativa bc débitos'!$K$17)</f>
        <v>0.5</v>
      </c>
      <c r="K13" s="12">
        <f t="shared" si="0"/>
        <v>0.5</v>
      </c>
      <c r="L13" s="18">
        <f t="shared" si="1"/>
        <v>11396474.651913639</v>
      </c>
      <c r="M13" s="18">
        <f t="shared" si="2"/>
        <v>11808668.306566294</v>
      </c>
      <c r="N13" s="18">
        <f>IFERROR(VLOOKUP(A13,'[2]estim bc créditos'!$H$4:$L$139,4,FALSE),0)</f>
        <v>881863.0156436977</v>
      </c>
      <c r="O13" s="18">
        <f>IFERROR(VLOOKUP(A13,'[2]estim bc créditos'!$H$4:$L$139,5,FALSE),0)</f>
        <v>974704.00904437294</v>
      </c>
    </row>
    <row r="14" spans="1:15" x14ac:dyDescent="0.2">
      <c r="A14" s="11">
        <v>106</v>
      </c>
      <c r="B14" s="15" t="s">
        <v>35</v>
      </c>
      <c r="C14" s="11" t="s">
        <v>15</v>
      </c>
      <c r="D14" s="14">
        <f>VLOOKUP(A14,'Correção Ocup Não Determinadas'!A:G,6,FALSE)</f>
        <v>1499294.3164418137</v>
      </c>
      <c r="E14" s="14">
        <f>VLOOKUP(A14,'Correção Ocup Não Determinadas'!A:G,7,FALSE)</f>
        <v>1152103.5341510905</v>
      </c>
      <c r="F14" s="15"/>
      <c r="G14" s="15"/>
      <c r="H14" s="15"/>
      <c r="I14" s="15"/>
      <c r="J14" s="15">
        <f>IFERROR(VLOOKUP(F14,'[1]Prod-CNAE-CF'!$A$5:$H$72,8,FALSE),'estimativa bc débitos'!$K$17)</f>
        <v>0.5</v>
      </c>
      <c r="K14" s="12">
        <f t="shared" si="0"/>
        <v>0.5</v>
      </c>
      <c r="L14" s="18">
        <f t="shared" si="1"/>
        <v>749647.15822090686</v>
      </c>
      <c r="M14" s="18">
        <f t="shared" si="2"/>
        <v>576051.76707554527</v>
      </c>
      <c r="N14" s="18">
        <f>IFERROR(VLOOKUP(A14,'[2]estim bc créditos'!$H$4:$L$139,4,FALSE),0)</f>
        <v>11232.198806614942</v>
      </c>
      <c r="O14" s="18">
        <f>IFERROR(VLOOKUP(A14,'[2]estim bc créditos'!$H$4:$L$139,5,FALSE),0)</f>
        <v>4736.2282402155543</v>
      </c>
    </row>
    <row r="15" spans="1:15" x14ac:dyDescent="0.2">
      <c r="A15" s="11">
        <v>107</v>
      </c>
      <c r="B15" s="15" t="s">
        <v>36</v>
      </c>
      <c r="C15" s="11" t="s">
        <v>15</v>
      </c>
      <c r="D15" s="14">
        <f>VLOOKUP(A15,'Correção Ocup Não Determinadas'!A:G,6,FALSE)</f>
        <v>7649611.6179247769</v>
      </c>
      <c r="E15" s="14">
        <f>VLOOKUP(A15,'Correção Ocup Não Determinadas'!A:G,7,FALSE)</f>
        <v>13745622.177678717</v>
      </c>
      <c r="F15" s="15"/>
      <c r="G15" s="15"/>
      <c r="H15" s="15"/>
      <c r="I15" s="15"/>
      <c r="J15" s="15">
        <f>IFERROR(VLOOKUP(F15,'[1]Prod-CNAE-CF'!$A$5:$H$72,8,FALSE),'estimativa bc débitos'!$K$17)</f>
        <v>0.5</v>
      </c>
      <c r="K15" s="12">
        <f t="shared" si="0"/>
        <v>0.5</v>
      </c>
      <c r="L15" s="18">
        <f t="shared" si="1"/>
        <v>3824805.8089623884</v>
      </c>
      <c r="M15" s="18">
        <f t="shared" si="2"/>
        <v>6872811.0888393587</v>
      </c>
      <c r="N15" s="18">
        <f>IFERROR(VLOOKUP(A15,'[2]estim bc créditos'!$H$4:$L$139,4,FALSE),0)</f>
        <v>275833.57576454326</v>
      </c>
      <c r="O15" s="18">
        <f>IFERROR(VLOOKUP(A15,'[2]estim bc créditos'!$H$4:$L$139,5,FALSE),0)</f>
        <v>1326618.8863780543</v>
      </c>
    </row>
    <row r="16" spans="1:15" x14ac:dyDescent="0.2">
      <c r="A16" s="11">
        <v>108</v>
      </c>
      <c r="B16" s="15" t="s">
        <v>37</v>
      </c>
      <c r="C16" s="11" t="s">
        <v>15</v>
      </c>
      <c r="D16" s="14">
        <f>VLOOKUP(A16,'Correção Ocup Não Determinadas'!A:G,6,FALSE)</f>
        <v>5390861.830358617</v>
      </c>
      <c r="E16" s="14">
        <f>VLOOKUP(A16,'Correção Ocup Não Determinadas'!A:G,7,FALSE)</f>
        <v>11157994.687452413</v>
      </c>
      <c r="F16" s="15"/>
      <c r="G16" s="15"/>
      <c r="H16" s="15"/>
      <c r="I16" s="15"/>
      <c r="J16" s="15">
        <f>IFERROR(VLOOKUP(F16,'[1]Prod-CNAE-CF'!$A$5:$H$72,8,FALSE),'estimativa bc débitos'!$K$17)</f>
        <v>0.5</v>
      </c>
      <c r="K16" s="12">
        <f t="shared" si="0"/>
        <v>0.5</v>
      </c>
      <c r="L16" s="18">
        <f t="shared" si="1"/>
        <v>2695430.9151793085</v>
      </c>
      <c r="M16" s="18">
        <f t="shared" si="2"/>
        <v>5578997.3437262066</v>
      </c>
      <c r="N16" s="18">
        <f>IFERROR(VLOOKUP(A16,'[2]estim bc créditos'!$H$4:$L$139,4,FALSE),0)</f>
        <v>475468.23307525733</v>
      </c>
      <c r="O16" s="18">
        <f>IFERROR(VLOOKUP(A16,'[2]estim bc créditos'!$H$4:$L$139,5,FALSE),0)</f>
        <v>641442.83906587865</v>
      </c>
    </row>
    <row r="17" spans="1:15" ht="30" x14ac:dyDescent="0.2">
      <c r="A17" s="11">
        <v>109</v>
      </c>
      <c r="B17" s="15" t="s">
        <v>38</v>
      </c>
      <c r="C17" s="11" t="s">
        <v>15</v>
      </c>
      <c r="D17" s="14">
        <f>VLOOKUP(A17,'Correção Ocup Não Determinadas'!A:G,6,FALSE)</f>
        <v>176853708.8393569</v>
      </c>
      <c r="E17" s="14">
        <f>VLOOKUP(A17,'Correção Ocup Não Determinadas'!A:G,7,FALSE)</f>
        <v>196567813.84014854</v>
      </c>
      <c r="F17" s="15"/>
      <c r="G17" s="15"/>
      <c r="H17" s="15"/>
      <c r="I17" s="15"/>
      <c r="J17" s="15">
        <f>IFERROR(VLOOKUP(F17,'[1]Prod-CNAE-CF'!$A$5:$H$72,8,FALSE),'estimativa bc débitos'!$K$17)</f>
        <v>0.5</v>
      </c>
      <c r="K17" s="12">
        <f t="shared" si="0"/>
        <v>0.5</v>
      </c>
      <c r="L17" s="18">
        <f t="shared" si="1"/>
        <v>88426854.41967845</v>
      </c>
      <c r="M17" s="18">
        <f t="shared" si="2"/>
        <v>98283906.920074269</v>
      </c>
      <c r="N17" s="18">
        <f>IFERROR(VLOOKUP(A17,'[2]estim bc créditos'!$H$4:$L$139,4,FALSE),0)</f>
        <v>29510359.154700816</v>
      </c>
      <c r="O17" s="18">
        <f>IFERROR(VLOOKUP(A17,'[2]estim bc créditos'!$H$4:$L$139,5,FALSE),0)</f>
        <v>31823093.800727352</v>
      </c>
    </row>
    <row r="18" spans="1:15" ht="30" x14ac:dyDescent="0.2">
      <c r="A18" s="11">
        <v>110</v>
      </c>
      <c r="B18" s="15" t="s">
        <v>39</v>
      </c>
      <c r="C18" s="11" t="s">
        <v>15</v>
      </c>
      <c r="D18" s="14">
        <f>VLOOKUP(A18,'Correção Ocup Não Determinadas'!A:G,6,FALSE)</f>
        <v>29048923.758715786</v>
      </c>
      <c r="E18" s="14">
        <f>VLOOKUP(A18,'Correção Ocup Não Determinadas'!A:G,7,FALSE)</f>
        <v>30351549.065115482</v>
      </c>
      <c r="F18" s="15"/>
      <c r="G18" s="15"/>
      <c r="H18" s="15"/>
      <c r="I18" s="15"/>
      <c r="J18" s="15">
        <f>IFERROR(VLOOKUP(F18,'[1]Prod-CNAE-CF'!$A$5:$H$72,8,FALSE),'estimativa bc débitos'!$K$17)</f>
        <v>0.5</v>
      </c>
      <c r="K18" s="12">
        <f t="shared" si="0"/>
        <v>0.5</v>
      </c>
      <c r="L18" s="18">
        <f t="shared" si="1"/>
        <v>14524461.879357893</v>
      </c>
      <c r="M18" s="18">
        <f t="shared" si="2"/>
        <v>15175774.532557741</v>
      </c>
      <c r="N18" s="18">
        <f>IFERROR(VLOOKUP(A18,'[2]estim bc créditos'!$H$4:$L$139,4,FALSE),0)</f>
        <v>1944995.7282156087</v>
      </c>
      <c r="O18" s="18">
        <f>IFERROR(VLOOKUP(A18,'[2]estim bc créditos'!$H$4:$L$139,5,FALSE),0)</f>
        <v>1497409.341049233</v>
      </c>
    </row>
    <row r="19" spans="1:15" x14ac:dyDescent="0.2">
      <c r="A19" s="11">
        <v>111</v>
      </c>
      <c r="B19" s="15" t="s">
        <v>40</v>
      </c>
      <c r="C19" s="11" t="s">
        <v>15</v>
      </c>
      <c r="D19" s="14">
        <f>VLOOKUP(A19,'Correção Ocup Não Determinadas'!A:G,6,FALSE)</f>
        <v>18894995.651369005</v>
      </c>
      <c r="E19" s="14">
        <f>VLOOKUP(A19,'Correção Ocup Não Determinadas'!A:G,7,FALSE)</f>
        <v>20715156.245811518</v>
      </c>
      <c r="F19" s="15"/>
      <c r="G19" s="15"/>
      <c r="H19" s="15"/>
      <c r="I19" s="15"/>
      <c r="J19" s="15">
        <f>IFERROR(VLOOKUP(F19,'[1]Prod-CNAE-CF'!$A$5:$H$72,8,FALSE),'estimativa bc débitos'!$K$17)</f>
        <v>0.5</v>
      </c>
      <c r="K19" s="12">
        <f t="shared" si="0"/>
        <v>0.5</v>
      </c>
      <c r="L19" s="18">
        <f t="shared" si="1"/>
        <v>9447497.8256845027</v>
      </c>
      <c r="M19" s="18">
        <f t="shared" si="2"/>
        <v>10357578.122905759</v>
      </c>
      <c r="N19" s="18">
        <f>IFERROR(VLOOKUP(A19,'[2]estim bc créditos'!$H$4:$L$139,4,FALSE),0)</f>
        <v>1975495.0768144203</v>
      </c>
      <c r="O19" s="18">
        <f>IFERROR(VLOOKUP(A19,'[2]estim bc créditos'!$H$4:$L$139,5,FALSE),0)</f>
        <v>2321022.9617923768</v>
      </c>
    </row>
    <row r="20" spans="1:15" x14ac:dyDescent="0.2">
      <c r="A20" s="11">
        <v>112</v>
      </c>
      <c r="B20" s="15" t="s">
        <v>41</v>
      </c>
      <c r="C20" s="11" t="s">
        <v>15</v>
      </c>
      <c r="D20" s="14">
        <f>VLOOKUP(A20,'Correção Ocup Não Determinadas'!A:G,6,FALSE)</f>
        <v>2089454.3562535779</v>
      </c>
      <c r="E20" s="14">
        <f>VLOOKUP(A20,'Correção Ocup Não Determinadas'!A:G,7,FALSE)</f>
        <v>1451870.5686712929</v>
      </c>
      <c r="F20" s="15"/>
      <c r="G20" s="15"/>
      <c r="H20" s="15"/>
      <c r="I20" s="15"/>
      <c r="J20" s="15">
        <f>IFERROR(VLOOKUP(F20,'[1]Prod-CNAE-CF'!$A$5:$H$72,8,FALSE),'estimativa bc débitos'!$K$17)</f>
        <v>0.5</v>
      </c>
      <c r="K20" s="12">
        <f t="shared" si="0"/>
        <v>0.5</v>
      </c>
      <c r="L20" s="18">
        <f t="shared" si="1"/>
        <v>1044727.1781267889</v>
      </c>
      <c r="M20" s="18">
        <f t="shared" si="2"/>
        <v>725935.28433564643</v>
      </c>
      <c r="N20" s="18">
        <f>IFERROR(VLOOKUP(A20,'[2]estim bc créditos'!$H$4:$L$139,4,FALSE),0)</f>
        <v>128698.26231101033</v>
      </c>
      <c r="O20" s="18">
        <f>IFERROR(VLOOKUP(A20,'[2]estim bc créditos'!$H$4:$L$139,5,FALSE),0)</f>
        <v>140701.04349613565</v>
      </c>
    </row>
    <row r="21" spans="1:15" x14ac:dyDescent="0.2">
      <c r="A21" s="11">
        <v>113</v>
      </c>
      <c r="B21" s="15" t="s">
        <v>42</v>
      </c>
      <c r="C21" s="11" t="s">
        <v>15</v>
      </c>
      <c r="D21" s="14">
        <f>VLOOKUP(A21,'Correção Ocup Não Determinadas'!A:G,6,FALSE)</f>
        <v>20873038.127225433</v>
      </c>
      <c r="E21" s="14">
        <f>VLOOKUP(A21,'Correção Ocup Não Determinadas'!A:G,7,FALSE)</f>
        <v>28973814.831459887</v>
      </c>
      <c r="F21" s="15"/>
      <c r="G21" s="15"/>
      <c r="H21" s="15"/>
      <c r="I21" s="15"/>
      <c r="J21" s="15">
        <f>IFERROR(VLOOKUP(F21,'[1]Prod-CNAE-CF'!$A$5:$H$72,8,FALSE),'estimativa bc débitos'!$K$17)</f>
        <v>0.5</v>
      </c>
      <c r="K21" s="12">
        <f t="shared" si="0"/>
        <v>0.5</v>
      </c>
      <c r="L21" s="18">
        <f t="shared" si="1"/>
        <v>10436519.063612716</v>
      </c>
      <c r="M21" s="18">
        <f t="shared" si="2"/>
        <v>14486907.415729944</v>
      </c>
      <c r="N21" s="18">
        <f>IFERROR(VLOOKUP(A21,'[2]estim bc créditos'!$H$4:$L$139,4,FALSE),0)</f>
        <v>1156612.6529597405</v>
      </c>
      <c r="O21" s="18">
        <f>IFERROR(VLOOKUP(A21,'[2]estim bc créditos'!$H$4:$L$139,5,FALSE),0)</f>
        <v>2072845.0201706183</v>
      </c>
    </row>
    <row r="22" spans="1:15" ht="30" x14ac:dyDescent="0.2">
      <c r="A22" s="11">
        <v>114</v>
      </c>
      <c r="B22" s="15" t="s">
        <v>43</v>
      </c>
      <c r="C22" s="11" t="s">
        <v>15</v>
      </c>
      <c r="D22" s="14">
        <f>VLOOKUP(A22,'Correção Ocup Não Determinadas'!A:G,6,FALSE)</f>
        <v>2820991.1277955472</v>
      </c>
      <c r="E22" s="14">
        <f>VLOOKUP(A22,'Correção Ocup Não Determinadas'!A:G,7,FALSE)</f>
        <v>4355704.0830888627</v>
      </c>
      <c r="F22" s="15"/>
      <c r="G22" s="15"/>
      <c r="H22" s="15"/>
      <c r="I22" s="15"/>
      <c r="J22" s="15">
        <f>IFERROR(VLOOKUP(F22,'[1]Prod-CNAE-CF'!$A$5:$H$72,8,FALSE),'estimativa bc débitos'!$K$17)</f>
        <v>0.5</v>
      </c>
      <c r="K22" s="12">
        <f t="shared" si="0"/>
        <v>0.5</v>
      </c>
      <c r="L22" s="18">
        <f t="shared" si="1"/>
        <v>1410495.5638977736</v>
      </c>
      <c r="M22" s="18">
        <f t="shared" si="2"/>
        <v>2177852.0415444314</v>
      </c>
      <c r="N22" s="18">
        <f>IFERROR(VLOOKUP(A22,'[2]estim bc créditos'!$H$4:$L$139,4,FALSE),0)</f>
        <v>205199.92381431247</v>
      </c>
      <c r="O22" s="18">
        <f>IFERROR(VLOOKUP(A22,'[2]estim bc créditos'!$H$4:$L$139,5,FALSE),0)</f>
        <v>200221.86441340865</v>
      </c>
    </row>
    <row r="23" spans="1:15" x14ac:dyDescent="0.2">
      <c r="A23" s="11">
        <v>115</v>
      </c>
      <c r="B23" s="15" t="s">
        <v>44</v>
      </c>
      <c r="C23" s="11" t="s">
        <v>15</v>
      </c>
      <c r="D23" s="14">
        <f>VLOOKUP(A23,'Correção Ocup Não Determinadas'!A:G,6,FALSE)</f>
        <v>2696521.2979932907</v>
      </c>
      <c r="E23" s="14">
        <f>VLOOKUP(A23,'Correção Ocup Não Determinadas'!A:G,7,FALSE)</f>
        <v>2830838.7547373357</v>
      </c>
      <c r="F23" s="15"/>
      <c r="G23" s="15"/>
      <c r="H23" s="15"/>
      <c r="I23" s="15"/>
      <c r="J23" s="15">
        <f>IFERROR(VLOOKUP(F23,'[1]Prod-CNAE-CF'!$A$5:$H$72,8,FALSE),'estimativa bc débitos'!$K$17)</f>
        <v>0.5</v>
      </c>
      <c r="K23" s="12">
        <f t="shared" si="0"/>
        <v>0.5</v>
      </c>
      <c r="L23" s="18">
        <f t="shared" si="1"/>
        <v>1348260.6489966454</v>
      </c>
      <c r="M23" s="18">
        <f t="shared" si="2"/>
        <v>1415419.3773686679</v>
      </c>
      <c r="N23" s="18">
        <f>IFERROR(VLOOKUP(A23,'[2]estim bc créditos'!$H$4:$L$139,4,FALSE),0)</f>
        <v>244636.02209675068</v>
      </c>
      <c r="O23" s="18">
        <f>IFERROR(VLOOKUP(A23,'[2]estim bc créditos'!$H$4:$L$139,5,FALSE),0)</f>
        <v>228527.10062640588</v>
      </c>
    </row>
    <row r="24" spans="1:15" ht="30" x14ac:dyDescent="0.2">
      <c r="A24" s="11">
        <v>116</v>
      </c>
      <c r="B24" s="15" t="s">
        <v>45</v>
      </c>
      <c r="C24" s="11" t="s">
        <v>15</v>
      </c>
      <c r="D24" s="14">
        <f>VLOOKUP(A24,'Correção Ocup Não Determinadas'!A:G,6,FALSE)</f>
        <v>52958419.97717347</v>
      </c>
      <c r="E24" s="14">
        <f>VLOOKUP(A24,'Correção Ocup Não Determinadas'!A:G,7,FALSE)</f>
        <v>60581906.208139069</v>
      </c>
      <c r="F24" s="15"/>
      <c r="G24" s="15"/>
      <c r="H24" s="15"/>
      <c r="I24" s="15"/>
      <c r="J24" s="15">
        <f>IFERROR(VLOOKUP(F24,'[1]Prod-CNAE-CF'!$A$5:$H$72,8,FALSE),'estimativa bc débitos'!$K$17)</f>
        <v>0.5</v>
      </c>
      <c r="K24" s="12">
        <f t="shared" si="0"/>
        <v>0.5</v>
      </c>
      <c r="L24" s="18">
        <f t="shared" si="1"/>
        <v>26479209.988586735</v>
      </c>
      <c r="M24" s="18">
        <f t="shared" si="2"/>
        <v>30290953.104069535</v>
      </c>
      <c r="N24" s="18">
        <f>IFERROR(VLOOKUP(A24,'[2]estim bc créditos'!$H$4:$L$139,4,FALSE),0)</f>
        <v>5848022.4378080294</v>
      </c>
      <c r="O24" s="18">
        <f>IFERROR(VLOOKUP(A24,'[2]estim bc créditos'!$H$4:$L$139,5,FALSE),0)</f>
        <v>7004671.8181150602</v>
      </c>
    </row>
    <row r="25" spans="1:15" ht="45" x14ac:dyDescent="0.2">
      <c r="A25" s="11">
        <v>117</v>
      </c>
      <c r="B25" s="15" t="s">
        <v>46</v>
      </c>
      <c r="C25" s="15" t="s">
        <v>46</v>
      </c>
      <c r="D25" s="14">
        <f>VLOOKUP(A25,'Correção Ocup Não Determinadas'!A:G,6,FALSE)</f>
        <v>24278582199.870415</v>
      </c>
      <c r="E25" s="14">
        <f>VLOOKUP(A25,'Correção Ocup Não Determinadas'!A:G,7,FALSE)</f>
        <v>28075560143.201035</v>
      </c>
      <c r="F25" s="15" t="s">
        <v>179</v>
      </c>
      <c r="G25" s="15" t="s">
        <v>180</v>
      </c>
      <c r="H25" s="15" t="s">
        <v>196</v>
      </c>
      <c r="I25" s="15" t="s">
        <v>197</v>
      </c>
      <c r="J25" s="15">
        <f>IFERROR(VLOOKUP(F25,'[1]Prod-CNAE-CF'!$A$5:$H$72,8,FALSE),'estimativa bc débitos'!$K$17)</f>
        <v>7.7454639518125715E-2</v>
      </c>
      <c r="K25" s="12">
        <f t="shared" si="0"/>
        <v>0.9225453604818743</v>
      </c>
      <c r="L25" s="18">
        <f t="shared" si="1"/>
        <v>22398093367.568268</v>
      </c>
      <c r="M25" s="18">
        <f t="shared" si="2"/>
        <v>25900977753.03994</v>
      </c>
      <c r="N25" s="18">
        <f>IFERROR(VLOOKUP(A25,'[2]estim bc créditos'!$H$4:$L$139,4,FALSE),0)</f>
        <v>4248318848.6107416</v>
      </c>
      <c r="O25" s="18">
        <f>IFERROR(VLOOKUP(A25,'[2]estim bc créditos'!$H$4:$L$139,5,FALSE),0)</f>
        <v>4794143012.8905001</v>
      </c>
    </row>
    <row r="26" spans="1:15" ht="30" x14ac:dyDescent="0.2">
      <c r="A26" s="11">
        <v>118</v>
      </c>
      <c r="B26" s="15" t="s">
        <v>47</v>
      </c>
      <c r="C26" s="11" t="s">
        <v>15</v>
      </c>
      <c r="D26" s="14">
        <f>VLOOKUP(A26,'Correção Ocup Não Determinadas'!A:G,6,FALSE)</f>
        <v>10318376.762559991</v>
      </c>
      <c r="E26" s="14">
        <f>VLOOKUP(A26,'Correção Ocup Não Determinadas'!A:G,7,FALSE)</f>
        <v>12726759.631500315</v>
      </c>
      <c r="F26" s="15"/>
      <c r="G26" s="15"/>
      <c r="H26" s="15"/>
      <c r="I26" s="15"/>
      <c r="J26" s="15">
        <f>IFERROR(VLOOKUP(F26,'[1]Prod-CNAE-CF'!$A$5:$H$72,8,FALSE),'estimativa bc débitos'!$K$17)</f>
        <v>0.5</v>
      </c>
      <c r="K26" s="12">
        <f t="shared" si="0"/>
        <v>0.5</v>
      </c>
      <c r="L26" s="18">
        <f t="shared" si="1"/>
        <v>5159188.3812799957</v>
      </c>
      <c r="M26" s="18">
        <f t="shared" si="2"/>
        <v>6363379.8157501575</v>
      </c>
      <c r="N26" s="18">
        <f>IFERROR(VLOOKUP(A26,'[2]estim bc créditos'!$H$4:$L$139,4,FALSE),0)</f>
        <v>261474.02594646299</v>
      </c>
      <c r="O26" s="18">
        <f>IFERROR(VLOOKUP(A26,'[2]estim bc créditos'!$H$4:$L$139,5,FALSE),0)</f>
        <v>227721.57760933315</v>
      </c>
    </row>
    <row r="27" spans="1:15" ht="30" x14ac:dyDescent="0.2">
      <c r="A27" s="11">
        <v>120</v>
      </c>
      <c r="B27" s="15" t="s">
        <v>48</v>
      </c>
      <c r="C27" s="11" t="s">
        <v>15</v>
      </c>
      <c r="D27" s="14">
        <f>VLOOKUP(A27,'Correção Ocup Não Determinadas'!A:G,6,FALSE)</f>
        <v>7956269711.3646736</v>
      </c>
      <c r="E27" s="14">
        <f>VLOOKUP(A27,'Correção Ocup Não Determinadas'!A:G,7,FALSE)</f>
        <v>8705801778.7902603</v>
      </c>
      <c r="F27" s="15"/>
      <c r="G27" s="15"/>
      <c r="H27" s="15"/>
      <c r="I27" s="15"/>
      <c r="J27" s="15">
        <f>IFERROR(VLOOKUP(F27,'[1]Prod-CNAE-CF'!$A$5:$H$72,8,FALSE),'estimativa bc débitos'!$K$17)</f>
        <v>0.5</v>
      </c>
      <c r="K27" s="12">
        <f t="shared" si="0"/>
        <v>0.5</v>
      </c>
      <c r="L27" s="18">
        <f t="shared" si="1"/>
        <v>3978134855.6823368</v>
      </c>
      <c r="M27" s="18">
        <f t="shared" si="2"/>
        <v>4352900889.3951302</v>
      </c>
      <c r="N27" s="18">
        <f>IFERROR(VLOOKUP(A27,'[2]estim bc créditos'!$H$4:$L$139,4,FALSE),0)</f>
        <v>283789156.97547328</v>
      </c>
      <c r="O27" s="18">
        <f>IFERROR(VLOOKUP(A27,'[2]estim bc créditos'!$H$4:$L$139,5,FALSE),0)</f>
        <v>320554136.06567538</v>
      </c>
    </row>
    <row r="28" spans="1:15" x14ac:dyDescent="0.2">
      <c r="A28" s="11">
        <v>121</v>
      </c>
      <c r="B28" s="15" t="s">
        <v>49</v>
      </c>
      <c r="C28" s="11" t="s">
        <v>15</v>
      </c>
      <c r="D28" s="14">
        <f>VLOOKUP(A28,'Correção Ocup Não Determinadas'!A:G,6,FALSE)</f>
        <v>26331658.133080948</v>
      </c>
      <c r="E28" s="14">
        <f>VLOOKUP(A28,'Correção Ocup Não Determinadas'!A:G,7,FALSE)</f>
        <v>32329790.903111663</v>
      </c>
      <c r="F28" s="15"/>
      <c r="G28" s="15"/>
      <c r="H28" s="15"/>
      <c r="I28" s="15"/>
      <c r="J28" s="15">
        <f>IFERROR(VLOOKUP(F28,'[1]Prod-CNAE-CF'!$A$5:$H$72,8,FALSE),'estimativa bc débitos'!$K$17)</f>
        <v>0.5</v>
      </c>
      <c r="K28" s="12">
        <f t="shared" si="0"/>
        <v>0.5</v>
      </c>
      <c r="L28" s="18">
        <f t="shared" si="1"/>
        <v>13165829.066540474</v>
      </c>
      <c r="M28" s="18">
        <f t="shared" si="2"/>
        <v>16164895.451555831</v>
      </c>
      <c r="N28" s="18">
        <f>IFERROR(VLOOKUP(A28,'[2]estim bc créditos'!$H$4:$L$139,4,FALSE),0)</f>
        <v>1015938.0708550103</v>
      </c>
      <c r="O28" s="18">
        <f>IFERROR(VLOOKUP(A28,'[2]estim bc créditos'!$H$4:$L$139,5,FALSE),0)</f>
        <v>685546.23783083039</v>
      </c>
    </row>
    <row r="29" spans="1:15" ht="30" x14ac:dyDescent="0.2">
      <c r="A29" s="11">
        <v>130</v>
      </c>
      <c r="B29" s="15" t="s">
        <v>50</v>
      </c>
      <c r="C29" s="11" t="s">
        <v>15</v>
      </c>
      <c r="D29" s="14">
        <f>VLOOKUP(A29,'Correção Ocup Não Determinadas'!A:G,6,FALSE)</f>
        <v>744511533.7601136</v>
      </c>
      <c r="E29" s="14">
        <f>VLOOKUP(A29,'Correção Ocup Não Determinadas'!A:G,7,FALSE)</f>
        <v>770639965.55005372</v>
      </c>
      <c r="F29" s="15"/>
      <c r="G29" s="15"/>
      <c r="H29" s="15"/>
      <c r="I29" s="15"/>
      <c r="J29" s="15">
        <f>IFERROR(VLOOKUP(F29,'[1]Prod-CNAE-CF'!$A$5:$H$72,8,FALSE),'estimativa bc débitos'!$K$17)</f>
        <v>0.5</v>
      </c>
      <c r="K29" s="12">
        <f t="shared" si="0"/>
        <v>0.5</v>
      </c>
      <c r="L29" s="18">
        <f t="shared" si="1"/>
        <v>372255766.8800568</v>
      </c>
      <c r="M29" s="18">
        <f t="shared" si="2"/>
        <v>385319982.77502686</v>
      </c>
      <c r="N29" s="18">
        <f>IFERROR(VLOOKUP(A29,'[2]estim bc créditos'!$H$4:$L$139,4,FALSE),0)</f>
        <v>23846797.720902819</v>
      </c>
      <c r="O29" s="18">
        <f>IFERROR(VLOOKUP(A29,'[2]estim bc créditos'!$H$4:$L$139,5,FALSE),0)</f>
        <v>20358469.111492347</v>
      </c>
    </row>
    <row r="30" spans="1:15" x14ac:dyDescent="0.2">
      <c r="A30" s="11">
        <v>131</v>
      </c>
      <c r="B30" s="15" t="s">
        <v>51</v>
      </c>
      <c r="C30" s="11" t="s">
        <v>15</v>
      </c>
      <c r="D30" s="14">
        <f>VLOOKUP(A30,'Correção Ocup Não Determinadas'!A:G,6,FALSE)</f>
        <v>18105820.709441181</v>
      </c>
      <c r="E30" s="14">
        <f>VLOOKUP(A30,'Correção Ocup Não Determinadas'!A:G,7,FALSE)</f>
        <v>13211119.393856181</v>
      </c>
      <c r="F30" s="15"/>
      <c r="G30" s="15"/>
      <c r="H30" s="15"/>
      <c r="I30" s="15"/>
      <c r="J30" s="15">
        <f>IFERROR(VLOOKUP(F30,'[1]Prod-CNAE-CF'!$A$5:$H$72,8,FALSE),'estimativa bc débitos'!$K$17)</f>
        <v>0.5</v>
      </c>
      <c r="K30" s="12">
        <f t="shared" si="0"/>
        <v>0.5</v>
      </c>
      <c r="L30" s="18">
        <f t="shared" si="1"/>
        <v>9052910.3547205906</v>
      </c>
      <c r="M30" s="18">
        <f t="shared" si="2"/>
        <v>6605559.6969280904</v>
      </c>
      <c r="N30" s="18">
        <f>IFERROR(VLOOKUP(A30,'[2]estim bc créditos'!$H$4:$L$139,4,FALSE),0)</f>
        <v>663342.8275735036</v>
      </c>
      <c r="O30" s="18">
        <f>IFERROR(VLOOKUP(A30,'[2]estim bc créditos'!$H$4:$L$139,5,FALSE),0)</f>
        <v>704102.4940911982</v>
      </c>
    </row>
    <row r="31" spans="1:15" ht="30" x14ac:dyDescent="0.2">
      <c r="A31" s="11">
        <v>140</v>
      </c>
      <c r="B31" s="15" t="s">
        <v>52</v>
      </c>
      <c r="C31" s="11" t="s">
        <v>15</v>
      </c>
      <c r="D31" s="14">
        <f>VLOOKUP(A31,'Correção Ocup Não Determinadas'!A:G,6,FALSE)</f>
        <v>34054652.397947758</v>
      </c>
      <c r="E31" s="14">
        <f>VLOOKUP(A31,'Correção Ocup Não Determinadas'!A:G,7,FALSE)</f>
        <v>31508261.734598339</v>
      </c>
      <c r="F31" s="15"/>
      <c r="G31" s="15"/>
      <c r="H31" s="15"/>
      <c r="I31" s="15"/>
      <c r="J31" s="15">
        <f>IFERROR(VLOOKUP(F31,'[1]Prod-CNAE-CF'!$A$5:$H$72,8,FALSE),'estimativa bc débitos'!$K$17)</f>
        <v>0.5</v>
      </c>
      <c r="K31" s="12">
        <f t="shared" si="0"/>
        <v>0.5</v>
      </c>
      <c r="L31" s="18">
        <f t="shared" si="1"/>
        <v>17027326.198973879</v>
      </c>
      <c r="M31" s="18">
        <f t="shared" si="2"/>
        <v>15754130.867299169</v>
      </c>
      <c r="N31" s="18">
        <f>IFERROR(VLOOKUP(A31,'[2]estim bc créditos'!$H$4:$L$139,4,FALSE),0)</f>
        <v>1187126.0044039914</v>
      </c>
      <c r="O31" s="18">
        <f>IFERROR(VLOOKUP(A31,'[2]estim bc créditos'!$H$4:$L$139,5,FALSE),0)</f>
        <v>737954.3716713516</v>
      </c>
    </row>
    <row r="32" spans="1:15" ht="45" x14ac:dyDescent="0.2">
      <c r="A32" s="11">
        <v>211</v>
      </c>
      <c r="B32" s="15" t="s">
        <v>53</v>
      </c>
      <c r="C32" s="11" t="s">
        <v>164</v>
      </c>
      <c r="D32" s="14">
        <f>VLOOKUP(A32,'Correção Ocup Não Determinadas'!A:G,6,FALSE)</f>
        <v>9615026.8515396696</v>
      </c>
      <c r="E32" s="14">
        <f>VLOOKUP(A32,'Correção Ocup Não Determinadas'!A:G,7,FALSE)</f>
        <v>8971193.5923426189</v>
      </c>
      <c r="F32" s="15" t="s">
        <v>187</v>
      </c>
      <c r="G32" s="15" t="s">
        <v>188</v>
      </c>
      <c r="H32" s="15" t="s">
        <v>200</v>
      </c>
      <c r="I32" s="15" t="s">
        <v>201</v>
      </c>
      <c r="J32" s="15">
        <f>IFERROR(VLOOKUP(F32,'[1]Prod-CNAE-CF'!$A$5:$H$72,8,FALSE),'estimativa bc débitos'!$K$17)</f>
        <v>1.7361587282431611E-2</v>
      </c>
      <c r="K32" s="12">
        <f t="shared" si="0"/>
        <v>0.98263841271756835</v>
      </c>
      <c r="L32" s="18">
        <f t="shared" si="1"/>
        <v>9448094.7236337401</v>
      </c>
      <c r="M32" s="18">
        <f t="shared" si="2"/>
        <v>8815439.4317615703</v>
      </c>
      <c r="N32" s="18">
        <f>IFERROR(VLOOKUP(A32,'[2]estim bc créditos'!$H$4:$L$139,4,FALSE),0)</f>
        <v>460725.40594461688</v>
      </c>
      <c r="O32" s="18">
        <f>IFERROR(VLOOKUP(A32,'[2]estim bc créditos'!$H$4:$L$139,5,FALSE),0)</f>
        <v>407869.57510804903</v>
      </c>
    </row>
    <row r="33" spans="1:15" ht="30" x14ac:dyDescent="0.2">
      <c r="A33" s="11">
        <v>212</v>
      </c>
      <c r="B33" s="15" t="s">
        <v>54</v>
      </c>
      <c r="C33" s="11" t="s">
        <v>15</v>
      </c>
      <c r="D33" s="14">
        <f>VLOOKUP(A33,'Correção Ocup Não Determinadas'!A:G,6,FALSE)</f>
        <v>143607639.86307031</v>
      </c>
      <c r="E33" s="14">
        <f>VLOOKUP(A33,'Correção Ocup Não Determinadas'!A:G,7,FALSE)</f>
        <v>141360432.28709316</v>
      </c>
      <c r="F33" s="15"/>
      <c r="G33" s="15"/>
      <c r="H33" s="15"/>
      <c r="I33" s="15"/>
      <c r="J33" s="15">
        <f>IFERROR(VLOOKUP(F33,'[1]Prod-CNAE-CF'!$A$5:$H$72,8,FALSE),'estimativa bc débitos'!$K$17)</f>
        <v>0.5</v>
      </c>
      <c r="K33" s="12">
        <f t="shared" si="0"/>
        <v>0.5</v>
      </c>
      <c r="L33" s="18">
        <f t="shared" si="1"/>
        <v>71803819.931535155</v>
      </c>
      <c r="M33" s="18">
        <f t="shared" si="2"/>
        <v>70680216.143546581</v>
      </c>
      <c r="N33" s="18">
        <f>IFERROR(VLOOKUP(A33,'[2]estim bc créditos'!$H$4:$L$139,4,FALSE),0)</f>
        <v>6926771.4093545396</v>
      </c>
      <c r="O33" s="18">
        <f>IFERROR(VLOOKUP(A33,'[2]estim bc créditos'!$H$4:$L$139,5,FALSE),0)</f>
        <v>4482001.7946045268</v>
      </c>
    </row>
    <row r="34" spans="1:15" ht="45" x14ac:dyDescent="0.2">
      <c r="A34" s="11">
        <v>213</v>
      </c>
      <c r="B34" s="15" t="s">
        <v>55</v>
      </c>
      <c r="C34" s="11" t="s">
        <v>164</v>
      </c>
      <c r="D34" s="14">
        <f>VLOOKUP(A34,'Correção Ocup Não Determinadas'!A:G,6,FALSE)</f>
        <v>13623743.019124286</v>
      </c>
      <c r="E34" s="14">
        <f>VLOOKUP(A34,'Correção Ocup Não Determinadas'!A:G,7,FALSE)</f>
        <v>13384803.562902233</v>
      </c>
      <c r="F34" s="15" t="s">
        <v>187</v>
      </c>
      <c r="G34" s="15" t="s">
        <v>188</v>
      </c>
      <c r="H34" s="15" t="s">
        <v>200</v>
      </c>
      <c r="I34" s="15" t="s">
        <v>201</v>
      </c>
      <c r="J34" s="15">
        <f>IFERROR(VLOOKUP(F34,'[1]Prod-CNAE-CF'!$A$5:$H$72,8,FALSE),'estimativa bc débitos'!$K$17)</f>
        <v>1.7361587282431611E-2</v>
      </c>
      <c r="K34" s="12">
        <f t="shared" si="0"/>
        <v>0.98263841271756835</v>
      </c>
      <c r="L34" s="18">
        <f t="shared" si="1"/>
        <v>13387213.215584341</v>
      </c>
      <c r="M34" s="18">
        <f t="shared" si="2"/>
        <v>13152422.127586704</v>
      </c>
      <c r="N34" s="18">
        <f>IFERROR(VLOOKUP(A34,'[2]estim bc créditos'!$H$4:$L$139,4,FALSE),0)</f>
        <v>278140.30614570528</v>
      </c>
      <c r="O34" s="18">
        <f>IFERROR(VLOOKUP(A34,'[2]estim bc créditos'!$H$4:$L$139,5,FALSE),0)</f>
        <v>365736.08639225562</v>
      </c>
    </row>
    <row r="35" spans="1:15" ht="45" x14ac:dyDescent="0.2">
      <c r="A35" s="11">
        <v>214</v>
      </c>
      <c r="B35" s="15" t="s">
        <v>56</v>
      </c>
      <c r="C35" s="11" t="s">
        <v>164</v>
      </c>
      <c r="D35" s="14">
        <f>VLOOKUP(A35,'Correção Ocup Não Determinadas'!A:G,6,FALSE)</f>
        <v>837289933.7452594</v>
      </c>
      <c r="E35" s="14">
        <f>VLOOKUP(A35,'Correção Ocup Não Determinadas'!A:G,7,FALSE)</f>
        <v>864772764.21037519</v>
      </c>
      <c r="F35" s="15" t="s">
        <v>185</v>
      </c>
      <c r="G35" s="15" t="s">
        <v>186</v>
      </c>
      <c r="H35" s="15" t="s">
        <v>204</v>
      </c>
      <c r="I35" s="15" t="s">
        <v>189</v>
      </c>
      <c r="J35" s="15">
        <f>IFERROR(VLOOKUP(F35,'[1]Prod-CNAE-CF'!$A$5:$H$72,8,FALSE),'estimativa bc débitos'!$K$17)</f>
        <v>0.41733223453661844</v>
      </c>
      <c r="K35" s="12">
        <f t="shared" si="0"/>
        <v>0.58266776546338162</v>
      </c>
      <c r="L35" s="18">
        <f t="shared" si="1"/>
        <v>487861854.74033314</v>
      </c>
      <c r="M35" s="18">
        <f t="shared" si="2"/>
        <v>503875214.1560511</v>
      </c>
      <c r="N35" s="18">
        <f>IFERROR(VLOOKUP(A35,'[2]estim bc créditos'!$H$4:$L$139,4,FALSE),0)</f>
        <v>32663214.771063119</v>
      </c>
      <c r="O35" s="18">
        <f>IFERROR(VLOOKUP(A35,'[2]estim bc créditos'!$H$4:$L$139,5,FALSE),0)</f>
        <v>33902672.603737704</v>
      </c>
    </row>
    <row r="36" spans="1:15" x14ac:dyDescent="0.2">
      <c r="A36" s="11">
        <v>215</v>
      </c>
      <c r="B36" s="15" t="s">
        <v>57</v>
      </c>
      <c r="C36" s="11" t="s">
        <v>15</v>
      </c>
      <c r="D36" s="14">
        <f>VLOOKUP(A36,'Correção Ocup Não Determinadas'!A:G,6,FALSE)</f>
        <v>6642594.7084875293</v>
      </c>
      <c r="E36" s="14">
        <f>VLOOKUP(A36,'Correção Ocup Não Determinadas'!A:G,7,FALSE)</f>
        <v>7397601.5520489002</v>
      </c>
      <c r="F36" s="15"/>
      <c r="G36" s="15"/>
      <c r="H36" s="15"/>
      <c r="I36" s="15"/>
      <c r="J36" s="15">
        <f>IFERROR(VLOOKUP(F36,'[1]Prod-CNAE-CF'!$A$5:$H$72,8,FALSE),'estimativa bc débitos'!$K$17)</f>
        <v>0.5</v>
      </c>
      <c r="K36" s="12">
        <f t="shared" si="0"/>
        <v>0.5</v>
      </c>
      <c r="L36" s="18">
        <f t="shared" ref="L36:L67" si="3">D36*$K36</f>
        <v>3321297.3542437647</v>
      </c>
      <c r="M36" s="18">
        <f t="shared" ref="M36:M67" si="4">E36*$K36</f>
        <v>3698800.7760244501</v>
      </c>
      <c r="N36" s="18">
        <f>IFERROR(VLOOKUP(A36,'[2]estim bc créditos'!$H$4:$L$139,4,FALSE),0)</f>
        <v>573849.10746807943</v>
      </c>
      <c r="O36" s="18">
        <f>IFERROR(VLOOKUP(A36,'[2]estim bc créditos'!$H$4:$L$139,5,FALSE),0)</f>
        <v>659340.66154939029</v>
      </c>
    </row>
    <row r="37" spans="1:15" ht="45" x14ac:dyDescent="0.2">
      <c r="A37" s="11">
        <v>221</v>
      </c>
      <c r="B37" s="15" t="s">
        <v>58</v>
      </c>
      <c r="C37" s="11" t="s">
        <v>164</v>
      </c>
      <c r="D37" s="14">
        <f>VLOOKUP(A37,'Correção Ocup Não Determinadas'!A:G,6,FALSE)</f>
        <v>72390750.838514969</v>
      </c>
      <c r="E37" s="14">
        <f>VLOOKUP(A37,'Correção Ocup Não Determinadas'!A:G,7,FALSE)</f>
        <v>88454434.380613685</v>
      </c>
      <c r="F37" s="15" t="s">
        <v>187</v>
      </c>
      <c r="G37" s="15" t="s">
        <v>188</v>
      </c>
      <c r="H37" s="15" t="s">
        <v>200</v>
      </c>
      <c r="I37" s="15" t="s">
        <v>201</v>
      </c>
      <c r="J37" s="15">
        <f>IFERROR(VLOOKUP(F37,'[1]Prod-CNAE-CF'!$A$5:$H$72,8,FALSE),'estimativa bc débitos'!$K$17)</f>
        <v>1.7361587282431611E-2</v>
      </c>
      <c r="K37" s="12">
        <f t="shared" si="0"/>
        <v>0.98263841271756835</v>
      </c>
      <c r="L37" s="18">
        <f t="shared" si="3"/>
        <v>71133932.499391332</v>
      </c>
      <c r="M37" s="18">
        <f t="shared" si="4"/>
        <v>86918724.997596532</v>
      </c>
      <c r="N37" s="18">
        <f>IFERROR(VLOOKUP(A37,'[2]estim bc créditos'!$H$4:$L$139,4,FALSE),0)</f>
        <v>6202028.0465005348</v>
      </c>
      <c r="O37" s="18">
        <f>IFERROR(VLOOKUP(A37,'[2]estim bc créditos'!$H$4:$L$139,5,FALSE),0)</f>
        <v>7861026.6778927762</v>
      </c>
    </row>
    <row r="38" spans="1:15" ht="45" x14ac:dyDescent="0.2">
      <c r="A38" s="11">
        <v>222</v>
      </c>
      <c r="B38" s="15" t="s">
        <v>59</v>
      </c>
      <c r="C38" s="11" t="s">
        <v>164</v>
      </c>
      <c r="D38" s="14">
        <f>VLOOKUP(A38,'Correção Ocup Não Determinadas'!A:G,6,FALSE)</f>
        <v>43770176.93282041</v>
      </c>
      <c r="E38" s="14">
        <f>VLOOKUP(A38,'Correção Ocup Não Determinadas'!A:G,7,FALSE)</f>
        <v>46634789.645936564</v>
      </c>
      <c r="F38" s="15" t="s">
        <v>187</v>
      </c>
      <c r="G38" s="15" t="s">
        <v>188</v>
      </c>
      <c r="H38" s="15" t="s">
        <v>200</v>
      </c>
      <c r="I38" s="15" t="s">
        <v>201</v>
      </c>
      <c r="J38" s="15">
        <f>IFERROR(VLOOKUP(F38,'[1]Prod-CNAE-CF'!$A$5:$H$72,8,FALSE),'estimativa bc débitos'!$K$17)</f>
        <v>1.7361587282431611E-2</v>
      </c>
      <c r="K38" s="12">
        <f t="shared" si="0"/>
        <v>0.98263841271756835</v>
      </c>
      <c r="L38" s="18">
        <f t="shared" si="3"/>
        <v>43010257.185633771</v>
      </c>
      <c r="M38" s="18">
        <f t="shared" si="4"/>
        <v>45825135.675100796</v>
      </c>
      <c r="N38" s="18">
        <f>IFERROR(VLOOKUP(A38,'[2]estim bc créditos'!$H$4:$L$139,4,FALSE),0)</f>
        <v>1536027.4315660596</v>
      </c>
      <c r="O38" s="18">
        <f>IFERROR(VLOOKUP(A38,'[2]estim bc créditos'!$H$4:$L$139,5,FALSE),0)</f>
        <v>1266012.9944671295</v>
      </c>
    </row>
    <row r="39" spans="1:15" x14ac:dyDescent="0.2">
      <c r="A39" s="11">
        <v>224</v>
      </c>
      <c r="B39" s="15" t="s">
        <v>60</v>
      </c>
      <c r="C39" s="11" t="s">
        <v>164</v>
      </c>
      <c r="D39" s="14">
        <f>VLOOKUP(A39,'Correção Ocup Não Determinadas'!A:G,6,FALSE)</f>
        <v>261126190.14060655</v>
      </c>
      <c r="E39" s="14">
        <f>VLOOKUP(A39,'Correção Ocup Não Determinadas'!A:G,7,FALSE)</f>
        <v>293611126.35862088</v>
      </c>
      <c r="F39" s="15" t="s">
        <v>198</v>
      </c>
      <c r="G39" s="15" t="s">
        <v>199</v>
      </c>
      <c r="H39" s="15" t="s">
        <v>207</v>
      </c>
      <c r="I39" s="15" t="s">
        <v>208</v>
      </c>
      <c r="J39" s="15">
        <f>IFERROR(VLOOKUP(F39,'[1]Prod-CNAE-CF'!$A$5:$H$72,8,FALSE),'estimativa bc débitos'!$K$17)</f>
        <v>0.86214151676554773</v>
      </c>
      <c r="K39" s="12">
        <f t="shared" si="0"/>
        <v>0.13785848323445227</v>
      </c>
      <c r="L39" s="18">
        <f t="shared" si="3"/>
        <v>35998460.505575202</v>
      </c>
      <c r="M39" s="18">
        <f t="shared" si="4"/>
        <v>40476784.540558584</v>
      </c>
      <c r="N39" s="18">
        <f>IFERROR(VLOOKUP(A39,'[2]estim bc créditos'!$H$4:$L$139,4,FALSE),0)</f>
        <v>4534075.9405582435</v>
      </c>
      <c r="O39" s="18">
        <f>IFERROR(VLOOKUP(A39,'[2]estim bc créditos'!$H$4:$L$139,5,FALSE),0)</f>
        <v>5559179.8525555246</v>
      </c>
    </row>
    <row r="40" spans="1:15" ht="45" x14ac:dyDescent="0.2">
      <c r="A40" s="11">
        <v>225</v>
      </c>
      <c r="B40" s="15" t="s">
        <v>61</v>
      </c>
      <c r="C40" s="11" t="s">
        <v>62</v>
      </c>
      <c r="D40" s="14">
        <f>VLOOKUP(A40,'Correção Ocup Não Determinadas'!A:G,6,FALSE)</f>
        <v>4846347289.6015434</v>
      </c>
      <c r="E40" s="14">
        <f>VLOOKUP(A40,'Correção Ocup Não Determinadas'!A:G,7,FALSE)</f>
        <v>4951715410.7504053</v>
      </c>
      <c r="F40" s="15" t="s">
        <v>181</v>
      </c>
      <c r="G40" s="15" t="s">
        <v>182</v>
      </c>
      <c r="H40" s="15" t="s">
        <v>241</v>
      </c>
      <c r="I40" s="15" t="s">
        <v>242</v>
      </c>
      <c r="J40" s="15">
        <f>IFERROR(VLOOKUP(F40,'[1]Prod-CNAE-CF'!$A$5:$H$72,8,FALSE),'estimativa bc débitos'!$K$17)</f>
        <v>0.87671711823096921</v>
      </c>
      <c r="K40" s="12">
        <f t="shared" si="0"/>
        <v>0.12328288176903079</v>
      </c>
      <c r="L40" s="18">
        <f t="shared" si="3"/>
        <v>597471659.91560996</v>
      </c>
      <c r="M40" s="18">
        <f t="shared" si="4"/>
        <v>610461745.53742993</v>
      </c>
      <c r="N40" s="18">
        <f>IFERROR(VLOOKUP(A40,'[2]estim bc créditos'!$H$4:$L$139,4,FALSE),0)</f>
        <v>2093455735.0266666</v>
      </c>
      <c r="O40" s="18">
        <f>IFERROR(VLOOKUP(A40,'[2]estim bc créditos'!$H$4:$L$139,5,FALSE),0)</f>
        <v>2165316129.7548709</v>
      </c>
    </row>
    <row r="41" spans="1:15" ht="45" x14ac:dyDescent="0.2">
      <c r="A41" s="11">
        <v>226</v>
      </c>
      <c r="B41" s="15" t="s">
        <v>63</v>
      </c>
      <c r="C41" s="11" t="s">
        <v>62</v>
      </c>
      <c r="D41" s="14">
        <f>VLOOKUP(A41,'Correção Ocup Não Determinadas'!A:G,6,FALSE)</f>
        <v>12846095943.735287</v>
      </c>
      <c r="E41" s="14">
        <f>VLOOKUP(A41,'Correção Ocup Não Determinadas'!A:G,7,FALSE)</f>
        <v>13407102465.501535</v>
      </c>
      <c r="F41" s="15" t="s">
        <v>181</v>
      </c>
      <c r="G41" s="15" t="s">
        <v>182</v>
      </c>
      <c r="H41" s="15" t="s">
        <v>241</v>
      </c>
      <c r="I41" s="15" t="s">
        <v>242</v>
      </c>
      <c r="J41" s="15">
        <f>IFERROR(VLOOKUP(F41,'[1]Prod-CNAE-CF'!$A$5:$H$72,8,FALSE),'estimativa bc débitos'!$K$17)</f>
        <v>0.87671711823096921</v>
      </c>
      <c r="K41" s="12">
        <f t="shared" si="0"/>
        <v>0.12328288176903079</v>
      </c>
      <c r="L41" s="18">
        <f t="shared" si="3"/>
        <v>1583703727.4251435</v>
      </c>
      <c r="M41" s="18">
        <f t="shared" si="4"/>
        <v>1652866228.1197071</v>
      </c>
      <c r="N41" s="18">
        <f>IFERROR(VLOOKUP(A41,'[2]estim bc créditos'!$H$4:$L$139,4,FALSE),0)</f>
        <v>2431772772.7677798</v>
      </c>
      <c r="O41" s="18">
        <f>IFERROR(VLOOKUP(A41,'[2]estim bc créditos'!$H$4:$L$139,5,FALSE),0)</f>
        <v>2555907117.8401127</v>
      </c>
    </row>
    <row r="42" spans="1:15" ht="45" x14ac:dyDescent="0.2">
      <c r="A42" s="11">
        <v>227</v>
      </c>
      <c r="B42" s="15" t="s">
        <v>64</v>
      </c>
      <c r="C42" s="11" t="s">
        <v>62</v>
      </c>
      <c r="D42" s="14">
        <f>VLOOKUP(A42,'Correção Ocup Não Determinadas'!A:G,6,FALSE)</f>
        <v>336671324.04031336</v>
      </c>
      <c r="E42" s="14">
        <f>VLOOKUP(A42,'Correção Ocup Não Determinadas'!A:G,7,FALSE)</f>
        <v>388195424.71458882</v>
      </c>
      <c r="F42" s="15" t="s">
        <v>181</v>
      </c>
      <c r="G42" s="15" t="s">
        <v>182</v>
      </c>
      <c r="H42" s="15" t="s">
        <v>243</v>
      </c>
      <c r="I42" s="15" t="s">
        <v>244</v>
      </c>
      <c r="J42" s="15">
        <f>IFERROR(VLOOKUP(F42,'[1]Prod-CNAE-CF'!$A$5:$H$72,8,FALSE),'estimativa bc débitos'!$K$17)</f>
        <v>0.87671711823096921</v>
      </c>
      <c r="K42" s="12">
        <f t="shared" si="0"/>
        <v>0.12328288176903079</v>
      </c>
      <c r="L42" s="18">
        <f t="shared" si="3"/>
        <v>41505811.036685005</v>
      </c>
      <c r="M42" s="18">
        <f t="shared" si="4"/>
        <v>47857850.648367345</v>
      </c>
      <c r="N42" s="18">
        <f>IFERROR(VLOOKUP(A42,'[2]estim bc créditos'!$H$4:$L$139,4,FALSE),0)</f>
        <v>17802327.680103049</v>
      </c>
      <c r="O42" s="18">
        <f>IFERROR(VLOOKUP(A42,'[2]estim bc créditos'!$H$4:$L$139,5,FALSE),0)</f>
        <v>19978654.04292452</v>
      </c>
    </row>
    <row r="43" spans="1:15" ht="45" x14ac:dyDescent="0.2">
      <c r="A43" s="11">
        <v>228</v>
      </c>
      <c r="B43" s="15" t="s">
        <v>65</v>
      </c>
      <c r="C43" s="11" t="s">
        <v>164</v>
      </c>
      <c r="D43" s="14">
        <f>VLOOKUP(A43,'Correção Ocup Não Determinadas'!A:G,6,FALSE)</f>
        <v>290113272.41159391</v>
      </c>
      <c r="E43" s="14">
        <f>VLOOKUP(A43,'Correção Ocup Não Determinadas'!A:G,7,FALSE)</f>
        <v>291476506.1693688</v>
      </c>
      <c r="F43" s="15" t="s">
        <v>187</v>
      </c>
      <c r="G43" s="15" t="s">
        <v>188</v>
      </c>
      <c r="H43" s="15" t="s">
        <v>200</v>
      </c>
      <c r="I43" s="15" t="s">
        <v>201</v>
      </c>
      <c r="J43" s="15">
        <f>IFERROR(VLOOKUP(F43,'[1]Prod-CNAE-CF'!$A$5:$H$72,8,FALSE),'estimativa bc débitos'!$K$17)</f>
        <v>1.7361587282431611E-2</v>
      </c>
      <c r="K43" s="12">
        <f t="shared" si="0"/>
        <v>0.98263841271756835</v>
      </c>
      <c r="L43" s="18">
        <f t="shared" si="3"/>
        <v>285076445.51082814</v>
      </c>
      <c r="M43" s="18">
        <f t="shared" si="4"/>
        <v>286416011.36673111</v>
      </c>
      <c r="N43" s="18">
        <f>IFERROR(VLOOKUP(A43,'[2]estim bc créditos'!$H$4:$L$139,4,FALSE),0)</f>
        <v>25636956.433689594</v>
      </c>
      <c r="O43" s="18">
        <f>IFERROR(VLOOKUP(A43,'[2]estim bc créditos'!$H$4:$L$139,5,FALSE),0)</f>
        <v>24331896.653989416</v>
      </c>
    </row>
    <row r="44" spans="1:15" ht="45" x14ac:dyDescent="0.2">
      <c r="A44" s="11">
        <v>229</v>
      </c>
      <c r="B44" s="15" t="s">
        <v>66</v>
      </c>
      <c r="C44" s="11" t="s">
        <v>62</v>
      </c>
      <c r="D44" s="14">
        <f>VLOOKUP(A44,'Correção Ocup Não Determinadas'!A:G,6,FALSE)</f>
        <v>2587104943.0671978</v>
      </c>
      <c r="E44" s="14">
        <f>VLOOKUP(A44,'Correção Ocup Não Determinadas'!A:G,7,FALSE)</f>
        <v>0</v>
      </c>
      <c r="F44" s="15" t="s">
        <v>181</v>
      </c>
      <c r="G44" s="15" t="s">
        <v>182</v>
      </c>
      <c r="H44" s="15" t="s">
        <v>243</v>
      </c>
      <c r="I44" s="15" t="s">
        <v>244</v>
      </c>
      <c r="J44" s="15">
        <f>IFERROR(VLOOKUP(F44,'[1]Prod-CNAE-CF'!$A$5:$H$72,8,FALSE),'estimativa bc débitos'!$K$17)</f>
        <v>0.87671711823096921</v>
      </c>
      <c r="K44" s="12">
        <f t="shared" si="0"/>
        <v>0.12328288176903079</v>
      </c>
      <c r="L44" s="18">
        <f t="shared" si="3"/>
        <v>318945752.82022852</v>
      </c>
      <c r="M44" s="18">
        <f t="shared" si="4"/>
        <v>0</v>
      </c>
      <c r="N44" s="18">
        <f>IFERROR(VLOOKUP(A44,'[2]estim bc créditos'!$H$4:$L$139,4,FALSE),0)</f>
        <v>130505703.65502605</v>
      </c>
      <c r="O44" s="18">
        <f>IFERROR(VLOOKUP(A44,'[2]estim bc créditos'!$H$4:$L$139,5,FALSE),0)</f>
        <v>3195317.0171573376</v>
      </c>
    </row>
    <row r="45" spans="1:15" ht="45" x14ac:dyDescent="0.2">
      <c r="A45" s="11">
        <v>230</v>
      </c>
      <c r="B45" s="15" t="s">
        <v>67</v>
      </c>
      <c r="C45" s="11" t="s">
        <v>62</v>
      </c>
      <c r="D45" s="14">
        <f>VLOOKUP(A45,'Correção Ocup Não Determinadas'!A:G,6,FALSE)</f>
        <v>0</v>
      </c>
      <c r="E45" s="14">
        <f>VLOOKUP(A45,'Correção Ocup Não Determinadas'!A:G,7,FALSE)</f>
        <v>437660290.23252249</v>
      </c>
      <c r="F45" s="15" t="s">
        <v>181</v>
      </c>
      <c r="G45" s="15" t="s">
        <v>182</v>
      </c>
      <c r="H45" s="15" t="s">
        <v>243</v>
      </c>
      <c r="I45" s="15" t="s">
        <v>244</v>
      </c>
      <c r="J45" s="15">
        <f>IFERROR(VLOOKUP(F45,'[1]Prod-CNAE-CF'!$A$5:$H$72,8,FALSE),'estimativa bc débitos'!$K$17)</f>
        <v>0.87671711823096921</v>
      </c>
      <c r="K45" s="12">
        <f t="shared" si="0"/>
        <v>0.12328288176903079</v>
      </c>
      <c r="L45" s="18">
        <f t="shared" si="3"/>
        <v>0</v>
      </c>
      <c r="M45" s="18">
        <f t="shared" si="4"/>
        <v>53956021.815735772</v>
      </c>
      <c r="N45" s="18">
        <f>IFERROR(VLOOKUP(A45,'[2]estim bc créditos'!$H$4:$L$139,4,FALSE),0)</f>
        <v>697107.44942817325</v>
      </c>
      <c r="O45" s="18">
        <f>IFERROR(VLOOKUP(A45,'[2]estim bc créditos'!$H$4:$L$139,5,FALSE),0)</f>
        <v>30278988.008287352</v>
      </c>
    </row>
    <row r="46" spans="1:15" ht="45" x14ac:dyDescent="0.2">
      <c r="A46" s="11">
        <v>231</v>
      </c>
      <c r="B46" s="15" t="s">
        <v>68</v>
      </c>
      <c r="C46" s="11" t="s">
        <v>62</v>
      </c>
      <c r="D46" s="14">
        <f>VLOOKUP(A46,'Correção Ocup Não Determinadas'!A:G,6,FALSE)</f>
        <v>0</v>
      </c>
      <c r="E46" s="14">
        <f>VLOOKUP(A46,'Correção Ocup Não Determinadas'!A:G,7,FALSE)</f>
        <v>1783575702.0869236</v>
      </c>
      <c r="F46" s="15" t="s">
        <v>181</v>
      </c>
      <c r="G46" s="15" t="s">
        <v>182</v>
      </c>
      <c r="H46" s="15" t="s">
        <v>243</v>
      </c>
      <c r="I46" s="15" t="s">
        <v>244</v>
      </c>
      <c r="J46" s="15">
        <f>IFERROR(VLOOKUP(F46,'[1]Prod-CNAE-CF'!$A$5:$H$72,8,FALSE),'estimativa bc débitos'!$K$17)</f>
        <v>0.87671711823096921</v>
      </c>
      <c r="K46" s="12">
        <f t="shared" si="0"/>
        <v>0.12328288176903079</v>
      </c>
      <c r="L46" s="18">
        <f t="shared" si="3"/>
        <v>0</v>
      </c>
      <c r="M46" s="18">
        <f t="shared" si="4"/>
        <v>219884352.40649828</v>
      </c>
      <c r="N46" s="18">
        <f>IFERROR(VLOOKUP(A46,'[2]estim bc créditos'!$H$4:$L$139,4,FALSE),0)</f>
        <v>1914815.3434219926</v>
      </c>
      <c r="O46" s="18">
        <f>IFERROR(VLOOKUP(A46,'[2]estim bc créditos'!$H$4:$L$139,5,FALSE),0)</f>
        <v>83170350.38015756</v>
      </c>
    </row>
    <row r="47" spans="1:15" ht="45" x14ac:dyDescent="0.2">
      <c r="A47" s="11">
        <v>232</v>
      </c>
      <c r="B47" s="15" t="s">
        <v>69</v>
      </c>
      <c r="C47" s="11" t="s">
        <v>62</v>
      </c>
      <c r="D47" s="14">
        <f>VLOOKUP(A47,'Correção Ocup Não Determinadas'!A:G,6,FALSE)</f>
        <v>0</v>
      </c>
      <c r="E47" s="14">
        <f>VLOOKUP(A47,'Correção Ocup Não Determinadas'!A:G,7,FALSE)</f>
        <v>137504388.65056545</v>
      </c>
      <c r="F47" s="15" t="s">
        <v>181</v>
      </c>
      <c r="G47" s="15" t="s">
        <v>182</v>
      </c>
      <c r="H47" s="15" t="s">
        <v>243</v>
      </c>
      <c r="I47" s="15" t="s">
        <v>244</v>
      </c>
      <c r="J47" s="15">
        <f>IFERROR(VLOOKUP(F47,'[1]Prod-CNAE-CF'!$A$5:$H$72,8,FALSE),'estimativa bc débitos'!$K$17)</f>
        <v>0.87671711823096921</v>
      </c>
      <c r="K47" s="12">
        <f t="shared" si="0"/>
        <v>0.12328288176903079</v>
      </c>
      <c r="L47" s="18">
        <f t="shared" si="3"/>
        <v>0</v>
      </c>
      <c r="M47" s="18">
        <f t="shared" si="4"/>
        <v>16951937.288730521</v>
      </c>
      <c r="N47" s="18">
        <f>IFERROR(VLOOKUP(A47,'[2]estim bc créditos'!$H$4:$L$139,4,FALSE),0)</f>
        <v>192918.26505722458</v>
      </c>
      <c r="O47" s="18">
        <f>IFERROR(VLOOKUP(A47,'[2]estim bc créditos'!$H$4:$L$139,5,FALSE),0)</f>
        <v>8379439.6961887181</v>
      </c>
    </row>
    <row r="48" spans="1:15" ht="45" x14ac:dyDescent="0.2">
      <c r="A48" s="11">
        <v>241</v>
      </c>
      <c r="B48" s="15" t="s">
        <v>70</v>
      </c>
      <c r="C48" s="11" t="s">
        <v>164</v>
      </c>
      <c r="D48" s="14">
        <f>VLOOKUP(A48,'Correção Ocup Não Determinadas'!A:G,6,FALSE)</f>
        <v>2528605433.226418</v>
      </c>
      <c r="E48" s="14">
        <f>VLOOKUP(A48,'Correção Ocup Não Determinadas'!A:G,7,FALSE)</f>
        <v>2868276088.4854841</v>
      </c>
      <c r="F48" s="15" t="s">
        <v>179</v>
      </c>
      <c r="G48" s="15" t="s">
        <v>180</v>
      </c>
      <c r="H48" s="15" t="s">
        <v>205</v>
      </c>
      <c r="I48" s="15" t="s">
        <v>206</v>
      </c>
      <c r="J48" s="15">
        <f>IFERROR(VLOOKUP(F48,'[1]Prod-CNAE-CF'!$A$5:$H$72,8,FALSE),'estimativa bc débitos'!$K$17)</f>
        <v>7.7454639518125715E-2</v>
      </c>
      <c r="K48" s="12">
        <f t="shared" si="0"/>
        <v>0.9225453604818743</v>
      </c>
      <c r="L48" s="18">
        <f t="shared" si="3"/>
        <v>2332753210.9122915</v>
      </c>
      <c r="M48" s="18">
        <f t="shared" si="4"/>
        <v>2646114798.0133815</v>
      </c>
      <c r="N48" s="18">
        <f>IFERROR(VLOOKUP(A48,'[2]estim bc créditos'!$H$4:$L$139,4,FALSE),0)</f>
        <v>171097183.28712627</v>
      </c>
      <c r="O48" s="18">
        <f>IFERROR(VLOOKUP(A48,'[2]estim bc créditos'!$H$4:$L$139,5,FALSE),0)</f>
        <v>192045327.73245823</v>
      </c>
    </row>
    <row r="49" spans="1:15" x14ac:dyDescent="0.2">
      <c r="A49" s="11">
        <v>250</v>
      </c>
      <c r="B49" s="15" t="s">
        <v>71</v>
      </c>
      <c r="C49" s="11" t="s">
        <v>15</v>
      </c>
      <c r="D49" s="14">
        <f>VLOOKUP(A49,'Correção Ocup Não Determinadas'!A:G,6,FALSE)</f>
        <v>2691303.2961884495</v>
      </c>
      <c r="E49" s="14">
        <f>VLOOKUP(A49,'Correção Ocup Não Determinadas'!A:G,7,FALSE)</f>
        <v>1816827.2491093352</v>
      </c>
      <c r="F49" s="15"/>
      <c r="G49" s="15"/>
      <c r="H49" s="15"/>
      <c r="I49" s="15"/>
      <c r="J49" s="15">
        <f>IFERROR(VLOOKUP(F49,'[1]Prod-CNAE-CF'!$A$5:$H$72,8,FALSE),'estimativa bc débitos'!$K$17)</f>
        <v>0.5</v>
      </c>
      <c r="K49" s="12">
        <f t="shared" si="0"/>
        <v>0.5</v>
      </c>
      <c r="L49" s="18">
        <f t="shared" si="3"/>
        <v>1345651.6480942247</v>
      </c>
      <c r="M49" s="18">
        <f t="shared" si="4"/>
        <v>908413.62455466762</v>
      </c>
      <c r="N49" s="18">
        <f>IFERROR(VLOOKUP(A49,'[2]estim bc créditos'!$H$4:$L$139,4,FALSE),0)</f>
        <v>207628.28548153138</v>
      </c>
      <c r="O49" s="18">
        <f>IFERROR(VLOOKUP(A49,'[2]estim bc créditos'!$H$4:$L$139,5,FALSE),0)</f>
        <v>194795.71366710583</v>
      </c>
    </row>
    <row r="50" spans="1:15" x14ac:dyDescent="0.2">
      <c r="A50" s="11">
        <v>251</v>
      </c>
      <c r="B50" s="15" t="s">
        <v>72</v>
      </c>
      <c r="C50" s="11" t="s">
        <v>15</v>
      </c>
      <c r="D50" s="14">
        <f>VLOOKUP(A50,'Correção Ocup Não Determinadas'!A:G,6,FALSE)</f>
        <v>906062.90236348531</v>
      </c>
      <c r="E50" s="14">
        <f>VLOOKUP(A50,'Correção Ocup Não Determinadas'!A:G,7,FALSE)</f>
        <v>751659.49232054455</v>
      </c>
      <c r="F50" s="15"/>
      <c r="G50" s="15"/>
      <c r="H50" s="15"/>
      <c r="I50" s="15"/>
      <c r="J50" s="15">
        <f>IFERROR(VLOOKUP(F50,'[1]Prod-CNAE-CF'!$A$5:$H$72,8,FALSE),'estimativa bc débitos'!$K$17)</f>
        <v>0.5</v>
      </c>
      <c r="K50" s="12">
        <f t="shared" si="0"/>
        <v>0.5</v>
      </c>
      <c r="L50" s="18">
        <f t="shared" si="3"/>
        <v>453031.45118174265</v>
      </c>
      <c r="M50" s="18">
        <f t="shared" si="4"/>
        <v>375829.74616027228</v>
      </c>
      <c r="N50" s="18">
        <f>IFERROR(VLOOKUP(A50,'[2]estim bc créditos'!$H$4:$L$139,4,FALSE),0)</f>
        <v>6773.2511473553968</v>
      </c>
      <c r="O50" s="18">
        <f>IFERROR(VLOOKUP(A50,'[2]estim bc créditos'!$H$4:$L$139,5,FALSE),0)</f>
        <v>165.83707873668598</v>
      </c>
    </row>
    <row r="51" spans="1:15" ht="45" x14ac:dyDescent="0.2">
      <c r="A51" s="11">
        <v>252</v>
      </c>
      <c r="B51" s="15" t="s">
        <v>73</v>
      </c>
      <c r="C51" s="11" t="s">
        <v>164</v>
      </c>
      <c r="D51" s="14">
        <f>VLOOKUP(A51,'Correção Ocup Não Determinadas'!A:G,6,FALSE)</f>
        <v>594791377.86879921</v>
      </c>
      <c r="E51" s="14">
        <f>VLOOKUP(A51,'Correção Ocup Não Determinadas'!A:G,7,FALSE)</f>
        <v>618638498.00049055</v>
      </c>
      <c r="F51" s="15" t="s">
        <v>179</v>
      </c>
      <c r="G51" s="15" t="s">
        <v>180</v>
      </c>
      <c r="H51" s="15" t="s">
        <v>209</v>
      </c>
      <c r="I51" s="15" t="s">
        <v>210</v>
      </c>
      <c r="J51" s="15">
        <f>IFERROR(VLOOKUP(F51,'[1]Prod-CNAE-CF'!$A$5:$H$72,8,FALSE),'estimativa bc débitos'!$K$17)</f>
        <v>7.7454639518125715E-2</v>
      </c>
      <c r="K51" s="12">
        <f t="shared" si="0"/>
        <v>0.9225453604818743</v>
      </c>
      <c r="L51" s="18">
        <f t="shared" si="3"/>
        <v>548722026.10748208</v>
      </c>
      <c r="M51" s="18">
        <f t="shared" si="4"/>
        <v>570722076.14582777</v>
      </c>
      <c r="N51" s="18">
        <f>IFERROR(VLOOKUP(A51,'[2]estim bc créditos'!$H$4:$L$139,4,FALSE),0)</f>
        <v>101595262.11176422</v>
      </c>
      <c r="O51" s="18">
        <f>IFERROR(VLOOKUP(A51,'[2]estim bc créditos'!$H$4:$L$139,5,FALSE),0)</f>
        <v>103551079.10212812</v>
      </c>
    </row>
    <row r="52" spans="1:15" ht="45" x14ac:dyDescent="0.2">
      <c r="A52" s="11">
        <v>253</v>
      </c>
      <c r="B52" s="15" t="s">
        <v>74</v>
      </c>
      <c r="C52" s="11" t="s">
        <v>164</v>
      </c>
      <c r="D52" s="14">
        <f>VLOOKUP(A52,'Correção Ocup Não Determinadas'!A:G,6,FALSE)</f>
        <v>80842765.296654388</v>
      </c>
      <c r="E52" s="14">
        <f>VLOOKUP(A52,'Correção Ocup Não Determinadas'!A:G,7,FALSE)</f>
        <v>97709853.199694738</v>
      </c>
      <c r="F52" s="15" t="s">
        <v>187</v>
      </c>
      <c r="G52" s="15" t="s">
        <v>188</v>
      </c>
      <c r="H52" s="15" t="s">
        <v>211</v>
      </c>
      <c r="I52" s="15" t="s">
        <v>212</v>
      </c>
      <c r="J52" s="15">
        <f>IFERROR(VLOOKUP(F52,'[1]Prod-CNAE-CF'!$A$5:$H$72,8,FALSE),'estimativa bc débitos'!$K$17)</f>
        <v>1.7361587282431611E-2</v>
      </c>
      <c r="K52" s="12">
        <f t="shared" si="0"/>
        <v>0.98263841271756835</v>
      </c>
      <c r="L52" s="18">
        <f t="shared" si="3"/>
        <v>79439206.570803389</v>
      </c>
      <c r="M52" s="18">
        <f t="shared" si="4"/>
        <v>96013455.055014655</v>
      </c>
      <c r="N52" s="18">
        <f>IFERROR(VLOOKUP(A52,'[2]estim bc créditos'!$H$4:$L$139,4,FALSE),0)</f>
        <v>2804686.498512716</v>
      </c>
      <c r="O52" s="18">
        <f>IFERROR(VLOOKUP(A52,'[2]estim bc créditos'!$H$4:$L$139,5,FALSE),0)</f>
        <v>2971688.7392409244</v>
      </c>
    </row>
    <row r="53" spans="1:15" ht="45" x14ac:dyDescent="0.2">
      <c r="A53" s="11">
        <v>254</v>
      </c>
      <c r="B53" s="15" t="s">
        <v>75</v>
      </c>
      <c r="C53" s="11" t="s">
        <v>62</v>
      </c>
      <c r="D53" s="14">
        <f>VLOOKUP(A53,'Correção Ocup Não Determinadas'!A:G,6,FALSE)</f>
        <v>89644273.664962217</v>
      </c>
      <c r="E53" s="14">
        <f>VLOOKUP(A53,'Correção Ocup Não Determinadas'!A:G,7,FALSE)</f>
        <v>98227602.278661132</v>
      </c>
      <c r="F53" s="15" t="s">
        <v>181</v>
      </c>
      <c r="G53" s="15" t="s">
        <v>182</v>
      </c>
      <c r="H53" s="15" t="s">
        <v>243</v>
      </c>
      <c r="I53" s="15" t="s">
        <v>244</v>
      </c>
      <c r="J53" s="15">
        <f>IFERROR(VLOOKUP(F53,'[1]Prod-CNAE-CF'!$A$5:$H$72,8,FALSE),'estimativa bc débitos'!$K$17)</f>
        <v>0.87671711823096921</v>
      </c>
      <c r="K53" s="12">
        <f t="shared" si="0"/>
        <v>0.12328288176903079</v>
      </c>
      <c r="L53" s="18">
        <f t="shared" si="3"/>
        <v>11051604.391508179</v>
      </c>
      <c r="M53" s="18">
        <f t="shared" si="4"/>
        <v>12109781.87817556</v>
      </c>
      <c r="N53" s="18">
        <f>IFERROR(VLOOKUP(A53,'[2]estim bc créditos'!$H$4:$L$139,4,FALSE),0)</f>
        <v>4256246.1767402422</v>
      </c>
      <c r="O53" s="18">
        <f>IFERROR(VLOOKUP(A53,'[2]estim bc créditos'!$H$4:$L$139,5,FALSE),0)</f>
        <v>5125695.824254198</v>
      </c>
    </row>
    <row r="54" spans="1:15" ht="45" x14ac:dyDescent="0.2">
      <c r="A54" s="11">
        <v>255</v>
      </c>
      <c r="B54" s="15" t="s">
        <v>76</v>
      </c>
      <c r="C54" s="11" t="s">
        <v>62</v>
      </c>
      <c r="D54" s="14">
        <f>VLOOKUP(A54,'Correção Ocup Não Determinadas'!A:G,6,FALSE)</f>
        <v>3319864245.1356955</v>
      </c>
      <c r="E54" s="14">
        <f>VLOOKUP(A54,'Correção Ocup Não Determinadas'!A:G,7,FALSE)</f>
        <v>3903173741.4324179</v>
      </c>
      <c r="F54" s="15" t="s">
        <v>181</v>
      </c>
      <c r="G54" s="15" t="s">
        <v>182</v>
      </c>
      <c r="H54" s="15" t="s">
        <v>243</v>
      </c>
      <c r="I54" s="15" t="s">
        <v>244</v>
      </c>
      <c r="J54" s="15">
        <f>IFERROR(VLOOKUP(F54,'[1]Prod-CNAE-CF'!$A$5:$H$72,8,FALSE),'estimativa bc débitos'!$K$17)</f>
        <v>0.87671711823096921</v>
      </c>
      <c r="K54" s="12">
        <f t="shared" si="0"/>
        <v>0.12328288176903079</v>
      </c>
      <c r="L54" s="18">
        <f t="shared" si="3"/>
        <v>409282431.2222966</v>
      </c>
      <c r="M54" s="18">
        <f t="shared" si="4"/>
        <v>481194506.88899833</v>
      </c>
      <c r="N54" s="18">
        <f>IFERROR(VLOOKUP(A54,'[2]estim bc créditos'!$H$4:$L$139,4,FALSE),0)</f>
        <v>184949973.56201825</v>
      </c>
      <c r="O54" s="18">
        <f>IFERROR(VLOOKUP(A54,'[2]estim bc créditos'!$H$4:$L$139,5,FALSE),0)</f>
        <v>221298964.37466517</v>
      </c>
    </row>
    <row r="55" spans="1:15" x14ac:dyDescent="0.2">
      <c r="A55" s="11">
        <v>256</v>
      </c>
      <c r="B55" s="15" t="s">
        <v>77</v>
      </c>
      <c r="C55" s="11" t="s">
        <v>15</v>
      </c>
      <c r="D55" s="14">
        <f>VLOOKUP(A55,'Correção Ocup Não Determinadas'!A:G,6,FALSE)</f>
        <v>1098925.3635390948</v>
      </c>
      <c r="E55" s="14">
        <f>VLOOKUP(A55,'Correção Ocup Não Determinadas'!A:G,7,FALSE)</f>
        <v>1378033.9413113708</v>
      </c>
      <c r="F55" s="15"/>
      <c r="G55" s="15"/>
      <c r="H55" s="15"/>
      <c r="I55" s="15"/>
      <c r="J55" s="15">
        <f>IFERROR(VLOOKUP(F55,'[1]Prod-CNAE-CF'!$A$5:$H$72,8,FALSE),'estimativa bc débitos'!$K$17)</f>
        <v>0.5</v>
      </c>
      <c r="K55" s="12">
        <f t="shared" si="0"/>
        <v>0.5</v>
      </c>
      <c r="L55" s="18">
        <f t="shared" si="3"/>
        <v>549462.6817695474</v>
      </c>
      <c r="M55" s="18">
        <f t="shared" si="4"/>
        <v>689016.97065568541</v>
      </c>
      <c r="N55" s="18">
        <f>IFERROR(VLOOKUP(A55,'[2]estim bc créditos'!$H$4:$L$139,4,FALSE),0)</f>
        <v>5912.277697865241</v>
      </c>
      <c r="O55" s="18">
        <f>IFERROR(VLOOKUP(A55,'[2]estim bc créditos'!$H$4:$L$139,5,FALSE),0)</f>
        <v>7134.8613021251513</v>
      </c>
    </row>
    <row r="56" spans="1:15" x14ac:dyDescent="0.2">
      <c r="A56" s="11">
        <v>257</v>
      </c>
      <c r="B56" s="15" t="s">
        <v>78</v>
      </c>
      <c r="C56" s="11" t="s">
        <v>15</v>
      </c>
      <c r="D56" s="14">
        <f>VLOOKUP(A56,'Correção Ocup Não Determinadas'!A:G,6,FALSE)</f>
        <v>1023135.5649558903</v>
      </c>
      <c r="E56" s="14">
        <f>VLOOKUP(A56,'Correção Ocup Não Determinadas'!A:G,7,FALSE)</f>
        <v>869843.72054882569</v>
      </c>
      <c r="F56" s="15"/>
      <c r="G56" s="15"/>
      <c r="H56" s="15"/>
      <c r="I56" s="15"/>
      <c r="J56" s="15">
        <f>IFERROR(VLOOKUP(F56,'[1]Prod-CNAE-CF'!$A$5:$H$72,8,FALSE),'estimativa bc débitos'!$K$17)</f>
        <v>0.5</v>
      </c>
      <c r="K56" s="12">
        <f t="shared" si="0"/>
        <v>0.5</v>
      </c>
      <c r="L56" s="18">
        <f t="shared" si="3"/>
        <v>511567.78247794515</v>
      </c>
      <c r="M56" s="18">
        <f t="shared" si="4"/>
        <v>434921.86027441284</v>
      </c>
      <c r="N56" s="18">
        <f>IFERROR(VLOOKUP(A56,'[2]estim bc créditos'!$H$4:$L$139,4,FALSE),0)</f>
        <v>13525.271971466942</v>
      </c>
      <c r="O56" s="18">
        <f>IFERROR(VLOOKUP(A56,'[2]estim bc créditos'!$H$4:$L$139,5,FALSE),0)</f>
        <v>28121.289190689353</v>
      </c>
    </row>
    <row r="57" spans="1:15" ht="30" x14ac:dyDescent="0.2">
      <c r="A57" s="11">
        <v>258</v>
      </c>
      <c r="B57" s="15" t="s">
        <v>79</v>
      </c>
      <c r="C57" s="11" t="s">
        <v>164</v>
      </c>
      <c r="D57" s="14">
        <f>VLOOKUP(A57,'Correção Ocup Não Determinadas'!A:G,6,FALSE)</f>
        <v>10077474.398376808</v>
      </c>
      <c r="E57" s="14">
        <f>VLOOKUP(A57,'Correção Ocup Não Determinadas'!A:G,7,FALSE)</f>
        <v>12252606.57841851</v>
      </c>
      <c r="F57" s="15" t="s">
        <v>181</v>
      </c>
      <c r="G57" s="15" t="s">
        <v>182</v>
      </c>
      <c r="H57" s="15" t="s">
        <v>213</v>
      </c>
      <c r="I57" s="15" t="s">
        <v>190</v>
      </c>
      <c r="J57" s="15">
        <f>IFERROR(VLOOKUP(F57,'[1]Prod-CNAE-CF'!$A$5:$H$72,8,FALSE),'estimativa bc débitos'!$K$17)</f>
        <v>0.87671711823096921</v>
      </c>
      <c r="K57" s="12">
        <f t="shared" si="0"/>
        <v>0.12328288176903079</v>
      </c>
      <c r="L57" s="18">
        <f t="shared" si="3"/>
        <v>1242380.0847855227</v>
      </c>
      <c r="M57" s="18">
        <f t="shared" si="4"/>
        <v>1510536.6481696181</v>
      </c>
      <c r="N57" s="18">
        <f>IFERROR(VLOOKUP(A57,'[2]estim bc créditos'!$H$4:$L$139,4,FALSE),0)</f>
        <v>362396.07904737967</v>
      </c>
      <c r="O57" s="18">
        <f>IFERROR(VLOOKUP(A57,'[2]estim bc créditos'!$H$4:$L$139,5,FALSE),0)</f>
        <v>366557.25086124055</v>
      </c>
    </row>
    <row r="58" spans="1:15" x14ac:dyDescent="0.2">
      <c r="A58" s="11">
        <v>259</v>
      </c>
      <c r="B58" s="15" t="s">
        <v>80</v>
      </c>
      <c r="C58" s="11" t="s">
        <v>15</v>
      </c>
      <c r="D58" s="14">
        <f>VLOOKUP(A58,'Correção Ocup Não Determinadas'!A:G,6,FALSE)</f>
        <v>881599.79968591826</v>
      </c>
      <c r="E58" s="14">
        <f>VLOOKUP(A58,'Correção Ocup Não Determinadas'!A:G,7,FALSE)</f>
        <v>1004552.3198258939</v>
      </c>
      <c r="F58" s="15"/>
      <c r="G58" s="15"/>
      <c r="H58" s="15"/>
      <c r="I58" s="15"/>
      <c r="J58" s="15">
        <f>IFERROR(VLOOKUP(F58,'[1]Prod-CNAE-CF'!$A$5:$H$72,8,FALSE),'estimativa bc débitos'!$K$17)</f>
        <v>0.5</v>
      </c>
      <c r="K58" s="12">
        <f t="shared" si="0"/>
        <v>0.5</v>
      </c>
      <c r="L58" s="18">
        <f t="shared" si="3"/>
        <v>440799.89984295913</v>
      </c>
      <c r="M58" s="18">
        <f t="shared" si="4"/>
        <v>502276.15991294693</v>
      </c>
      <c r="N58" s="18">
        <f>IFERROR(VLOOKUP(A58,'[2]estim bc créditos'!$H$4:$L$139,4,FALSE),0)</f>
        <v>44648.196357889785</v>
      </c>
      <c r="O58" s="18">
        <f>IFERROR(VLOOKUP(A58,'[2]estim bc créditos'!$H$4:$L$139,5,FALSE),0)</f>
        <v>59743.959393661476</v>
      </c>
    </row>
    <row r="59" spans="1:15" ht="30" x14ac:dyDescent="0.2">
      <c r="A59" s="11">
        <v>261</v>
      </c>
      <c r="B59" s="15" t="s">
        <v>81</v>
      </c>
      <c r="C59" s="11" t="s">
        <v>82</v>
      </c>
      <c r="D59" s="14">
        <f>VLOOKUP(A59,'Correção Ocup Não Determinadas'!A:G,6,FALSE)</f>
        <v>28957080.653556205</v>
      </c>
      <c r="E59" s="14">
        <f>VLOOKUP(A59,'Correção Ocup Não Determinadas'!A:G,7,FALSE)</f>
        <v>31392859.318679143</v>
      </c>
      <c r="F59" s="15" t="s">
        <v>228</v>
      </c>
      <c r="G59" s="15" t="s">
        <v>229</v>
      </c>
      <c r="H59" s="15" t="s">
        <v>230</v>
      </c>
      <c r="I59" s="15" t="s">
        <v>231</v>
      </c>
      <c r="J59" s="15">
        <f>IFERROR(VLOOKUP(F59,'[1]Prod-CNAE-CF'!$A$5:$H$72,8,FALSE),'estimativa bc débitos'!$K$17)</f>
        <v>0.42955014703122069</v>
      </c>
      <c r="K59" s="12">
        <f t="shared" si="0"/>
        <v>0.57044985296877937</v>
      </c>
      <c r="L59" s="18">
        <f t="shared" si="3"/>
        <v>16518562.401226223</v>
      </c>
      <c r="M59" s="18">
        <f t="shared" si="4"/>
        <v>17908051.982610092</v>
      </c>
      <c r="N59" s="18">
        <f>IFERROR(VLOOKUP(A59,'[2]estim bc créditos'!$H$4:$L$139,4,FALSE),0)</f>
        <v>1251468.9990019202</v>
      </c>
      <c r="O59" s="18">
        <f>IFERROR(VLOOKUP(A59,'[2]estim bc créditos'!$H$4:$L$139,5,FALSE),0)</f>
        <v>1878471.1213290982</v>
      </c>
    </row>
    <row r="60" spans="1:15" x14ac:dyDescent="0.2">
      <c r="A60" s="11">
        <v>263</v>
      </c>
      <c r="B60" s="15" t="s">
        <v>83</v>
      </c>
      <c r="C60" s="11" t="s">
        <v>15</v>
      </c>
      <c r="D60" s="14">
        <f>VLOOKUP(A60,'Correção Ocup Não Determinadas'!A:G,6,FALSE)</f>
        <v>116784334.74577899</v>
      </c>
      <c r="E60" s="14">
        <f>VLOOKUP(A60,'Correção Ocup Não Determinadas'!A:G,7,FALSE)</f>
        <v>120027504.91901872</v>
      </c>
      <c r="F60" s="15"/>
      <c r="G60" s="15"/>
      <c r="H60" s="15"/>
      <c r="I60" s="15"/>
      <c r="J60" s="15">
        <f>IFERROR(VLOOKUP(F60,'[1]Prod-CNAE-CF'!$A$5:$H$72,8,FALSE),'estimativa bc débitos'!$K$17)</f>
        <v>0.5</v>
      </c>
      <c r="K60" s="12">
        <f t="shared" si="0"/>
        <v>0.5</v>
      </c>
      <c r="L60" s="18">
        <f t="shared" si="3"/>
        <v>58392167.372889496</v>
      </c>
      <c r="M60" s="18">
        <f t="shared" si="4"/>
        <v>60013752.459509358</v>
      </c>
      <c r="N60" s="18">
        <f>IFERROR(VLOOKUP(A60,'[2]estim bc créditos'!$H$4:$L$139,4,FALSE),0)</f>
        <v>63307426.592464611</v>
      </c>
      <c r="O60" s="18">
        <f>IFERROR(VLOOKUP(A60,'[2]estim bc créditos'!$H$4:$L$139,5,FALSE),0)</f>
        <v>5275200.4521571072</v>
      </c>
    </row>
    <row r="61" spans="1:15" x14ac:dyDescent="0.2">
      <c r="A61" s="11">
        <v>264</v>
      </c>
      <c r="B61" s="15" t="s">
        <v>84</v>
      </c>
      <c r="C61" s="11" t="s">
        <v>15</v>
      </c>
      <c r="D61" s="14">
        <f>VLOOKUP(A61,'Correção Ocup Não Determinadas'!A:G,6,FALSE)</f>
        <v>22618479.2848887</v>
      </c>
      <c r="E61" s="14">
        <f>VLOOKUP(A61,'Correção Ocup Não Determinadas'!A:G,7,FALSE)</f>
        <v>26490686.774077181</v>
      </c>
      <c r="F61" s="15"/>
      <c r="G61" s="15"/>
      <c r="H61" s="15"/>
      <c r="I61" s="15"/>
      <c r="J61" s="15">
        <f>IFERROR(VLOOKUP(F61,'[1]Prod-CNAE-CF'!$A$5:$H$72,8,FALSE),'estimativa bc débitos'!$K$17)</f>
        <v>0.5</v>
      </c>
      <c r="K61" s="12">
        <f t="shared" si="0"/>
        <v>0.5</v>
      </c>
      <c r="L61" s="18">
        <f t="shared" si="3"/>
        <v>11309239.64244435</v>
      </c>
      <c r="M61" s="18">
        <f t="shared" si="4"/>
        <v>13245343.38703859</v>
      </c>
      <c r="N61" s="18">
        <f>IFERROR(VLOOKUP(A61,'[2]estim bc créditos'!$H$4:$L$139,4,FALSE),0)</f>
        <v>1294860.828131251</v>
      </c>
      <c r="O61" s="18">
        <f>IFERROR(VLOOKUP(A61,'[2]estim bc créditos'!$H$4:$L$139,5,FALSE),0)</f>
        <v>1369186.1922761577</v>
      </c>
    </row>
    <row r="62" spans="1:15" ht="60" x14ac:dyDescent="0.2">
      <c r="A62" s="11">
        <v>265</v>
      </c>
      <c r="B62" s="15" t="s">
        <v>85</v>
      </c>
      <c r="C62" s="11" t="s">
        <v>164</v>
      </c>
      <c r="D62" s="14">
        <f>VLOOKUP(A62,'Correção Ocup Não Determinadas'!A:G,6,FALSE)</f>
        <v>1922206.1435069751</v>
      </c>
      <c r="E62" s="14">
        <f>VLOOKUP(A62,'Correção Ocup Não Determinadas'!A:G,7,FALSE)</f>
        <v>2521461.6644523437</v>
      </c>
      <c r="F62" s="15" t="s">
        <v>183</v>
      </c>
      <c r="G62" s="15" t="s">
        <v>184</v>
      </c>
      <c r="H62" s="15" t="s">
        <v>214</v>
      </c>
      <c r="I62" s="15" t="s">
        <v>215</v>
      </c>
      <c r="J62" s="15">
        <f>IFERROR(VLOOKUP(F62,'[1]Prod-CNAE-CF'!$A$5:$H$72,8,FALSE),'estimativa bc débitos'!$K$17)</f>
        <v>0.89281124940338508</v>
      </c>
      <c r="K62" s="12">
        <f t="shared" si="0"/>
        <v>0.10718875059661492</v>
      </c>
      <c r="L62" s="18">
        <f t="shared" si="3"/>
        <v>206038.87491165014</v>
      </c>
      <c r="M62" s="18">
        <f t="shared" si="4"/>
        <v>270272.32548990782</v>
      </c>
      <c r="N62" s="18">
        <f>IFERROR(VLOOKUP(A62,'[2]estim bc créditos'!$H$4:$L$139,4,FALSE),0)</f>
        <v>27948.470053736532</v>
      </c>
      <c r="O62" s="18">
        <f>IFERROR(VLOOKUP(A62,'[2]estim bc créditos'!$H$4:$L$139,5,FALSE),0)</f>
        <v>69103.709053734623</v>
      </c>
    </row>
    <row r="63" spans="1:15" ht="30" x14ac:dyDescent="0.2">
      <c r="A63" s="11">
        <v>266</v>
      </c>
      <c r="B63" s="15" t="s">
        <v>86</v>
      </c>
      <c r="C63" s="11" t="s">
        <v>82</v>
      </c>
      <c r="D63" s="14">
        <f>VLOOKUP(A63,'Correção Ocup Não Determinadas'!A:G,6,FALSE)</f>
        <v>6014983.2197866263</v>
      </c>
      <c r="E63" s="14">
        <f>VLOOKUP(A63,'Correção Ocup Não Determinadas'!A:G,7,FALSE)</f>
        <v>6609275.1482191803</v>
      </c>
      <c r="F63" s="15" t="s">
        <v>228</v>
      </c>
      <c r="G63" s="15" t="s">
        <v>229</v>
      </c>
      <c r="H63" s="15" t="s">
        <v>232</v>
      </c>
      <c r="I63" s="15" t="s">
        <v>233</v>
      </c>
      <c r="J63" s="15">
        <f>IFERROR(VLOOKUP(F63,'[1]Prod-CNAE-CF'!$A$5:$H$72,8,FALSE),'estimativa bc débitos'!$K$17)</f>
        <v>0.42955014703122069</v>
      </c>
      <c r="K63" s="12">
        <f t="shared" si="0"/>
        <v>0.57044985296877937</v>
      </c>
      <c r="L63" s="18">
        <f t="shared" si="3"/>
        <v>3431246.2933369563</v>
      </c>
      <c r="M63" s="18">
        <f t="shared" si="4"/>
        <v>3770260.0365318391</v>
      </c>
      <c r="N63" s="18">
        <f>IFERROR(VLOOKUP(A63,'[2]estim bc créditos'!$H$4:$L$139,4,FALSE),0)</f>
        <v>246831.48884080295</v>
      </c>
      <c r="O63" s="18">
        <f>IFERROR(VLOOKUP(A63,'[2]estim bc créditos'!$H$4:$L$139,5,FALSE),0)</f>
        <v>256517.21712629937</v>
      </c>
    </row>
    <row r="64" spans="1:15" ht="45" x14ac:dyDescent="0.2">
      <c r="A64" s="11">
        <v>271</v>
      </c>
      <c r="B64" s="15" t="s">
        <v>87</v>
      </c>
      <c r="C64" s="11" t="s">
        <v>82</v>
      </c>
      <c r="D64" s="14">
        <f>VLOOKUP(A64,'Correção Ocup Não Determinadas'!A:G,6,FALSE)</f>
        <v>2885028.4856954175</v>
      </c>
      <c r="E64" s="14">
        <f>VLOOKUP(A64,'Correção Ocup Não Determinadas'!A:G,7,FALSE)</f>
        <v>2568316.2522491841</v>
      </c>
      <c r="F64" s="15" t="s">
        <v>192</v>
      </c>
      <c r="G64" s="15" t="s">
        <v>193</v>
      </c>
      <c r="H64" s="15" t="s">
        <v>234</v>
      </c>
      <c r="I64" s="15" t="s">
        <v>235</v>
      </c>
      <c r="J64" s="15">
        <f>IFERROR(VLOOKUP(F64,'[1]Prod-CNAE-CF'!$A$5:$H$72,8,FALSE),'estimativa bc débitos'!$K$17)</f>
        <v>2.6901987662782727E-2</v>
      </c>
      <c r="K64" s="12">
        <f t="shared" si="0"/>
        <v>0.97309801233721727</v>
      </c>
      <c r="L64" s="18">
        <f t="shared" si="3"/>
        <v>2807415.4849664625</v>
      </c>
      <c r="M64" s="18">
        <f t="shared" si="4"/>
        <v>2499223.4401170523</v>
      </c>
      <c r="N64" s="18">
        <f>IFERROR(VLOOKUP(A64,'[2]estim bc créditos'!$H$4:$L$139,4,FALSE),0)</f>
        <v>2500.627198861825</v>
      </c>
      <c r="O64" s="18">
        <f>IFERROR(VLOOKUP(A64,'[2]estim bc créditos'!$H$4:$L$139,5,FALSE),0)</f>
        <v>10543.008516429189</v>
      </c>
    </row>
    <row r="65" spans="1:15" ht="30" x14ac:dyDescent="0.2">
      <c r="A65" s="11">
        <v>272</v>
      </c>
      <c r="B65" s="15" t="s">
        <v>88</v>
      </c>
      <c r="C65" s="11" t="s">
        <v>82</v>
      </c>
      <c r="D65" s="14">
        <f>VLOOKUP(A65,'Correção Ocup Não Determinadas'!A:G,6,FALSE)</f>
        <v>8110927.6249941494</v>
      </c>
      <c r="E65" s="14">
        <f>VLOOKUP(A65,'Correção Ocup Não Determinadas'!A:G,7,FALSE)</f>
        <v>7340086.9155572727</v>
      </c>
      <c r="F65" s="15" t="s">
        <v>183</v>
      </c>
      <c r="G65" s="15" t="s">
        <v>184</v>
      </c>
      <c r="H65" s="15" t="s">
        <v>236</v>
      </c>
      <c r="I65" s="15" t="s">
        <v>237</v>
      </c>
      <c r="J65" s="15">
        <f>IFERROR(VLOOKUP(F65,'[1]Prod-CNAE-CF'!$A$5:$H$72,8,FALSE),'estimativa bc débitos'!$K$17)</f>
        <v>0.89281124940338508</v>
      </c>
      <c r="K65" s="12">
        <f t="shared" si="0"/>
        <v>0.10718875059661492</v>
      </c>
      <c r="L65" s="18">
        <f t="shared" si="3"/>
        <v>869400.19830269215</v>
      </c>
      <c r="M65" s="18">
        <f t="shared" si="4"/>
        <v>786774.74574914505</v>
      </c>
      <c r="N65" s="18">
        <f>IFERROR(VLOOKUP(A65,'[2]estim bc créditos'!$H$4:$L$139,4,FALSE),0)</f>
        <v>38938.596274438096</v>
      </c>
      <c r="O65" s="18">
        <f>IFERROR(VLOOKUP(A65,'[2]estim bc créditos'!$H$4:$L$139,5,FALSE),0)</f>
        <v>82640.985792885796</v>
      </c>
    </row>
    <row r="66" spans="1:15" ht="45" x14ac:dyDescent="0.2">
      <c r="A66" s="11">
        <v>273</v>
      </c>
      <c r="B66" s="15" t="s">
        <v>89</v>
      </c>
      <c r="C66" s="11" t="s">
        <v>82</v>
      </c>
      <c r="D66" s="14">
        <f>VLOOKUP(A66,'Correção Ocup Não Determinadas'!A:G,6,FALSE)</f>
        <v>19504308.655639179</v>
      </c>
      <c r="E66" s="14">
        <f>VLOOKUP(A66,'Correção Ocup Não Determinadas'!A:G,7,FALSE)</f>
        <v>17918658.483059365</v>
      </c>
      <c r="F66" s="15" t="s">
        <v>192</v>
      </c>
      <c r="G66" s="15" t="s">
        <v>193</v>
      </c>
      <c r="H66" s="15" t="s">
        <v>238</v>
      </c>
      <c r="I66" s="15" t="s">
        <v>191</v>
      </c>
      <c r="J66" s="15">
        <f>IFERROR(VLOOKUP(F66,'[1]Prod-CNAE-CF'!$A$5:$H$72,8,FALSE),'estimativa bc débitos'!$K$17)</f>
        <v>2.6901987662782727E-2</v>
      </c>
      <c r="K66" s="12">
        <f t="shared" si="0"/>
        <v>0.97309801233721727</v>
      </c>
      <c r="L66" s="18">
        <f t="shared" si="3"/>
        <v>18979603.984814066</v>
      </c>
      <c r="M66" s="18">
        <f t="shared" si="4"/>
        <v>17436610.953614485</v>
      </c>
      <c r="N66" s="18">
        <f>IFERROR(VLOOKUP(A66,'[2]estim bc créditos'!$H$4:$L$139,4,FALSE),0)</f>
        <v>485166.31827877613</v>
      </c>
      <c r="O66" s="18">
        <f>IFERROR(VLOOKUP(A66,'[2]estim bc créditos'!$H$4:$L$139,5,FALSE),0)</f>
        <v>314325.82481525256</v>
      </c>
    </row>
    <row r="67" spans="1:15" ht="45" x14ac:dyDescent="0.2">
      <c r="A67" s="11">
        <v>274</v>
      </c>
      <c r="B67" s="15" t="s">
        <v>90</v>
      </c>
      <c r="C67" s="11" t="s">
        <v>82</v>
      </c>
      <c r="D67" s="14">
        <f>VLOOKUP(A67,'Correção Ocup Não Determinadas'!A:G,6,FALSE)</f>
        <v>39933115.653739557</v>
      </c>
      <c r="E67" s="14">
        <f>VLOOKUP(A67,'Correção Ocup Não Determinadas'!A:G,7,FALSE)</f>
        <v>42297022.335210212</v>
      </c>
      <c r="F67" s="15" t="s">
        <v>192</v>
      </c>
      <c r="G67" s="15" t="s">
        <v>193</v>
      </c>
      <c r="H67" s="15" t="s">
        <v>238</v>
      </c>
      <c r="I67" s="15" t="s">
        <v>191</v>
      </c>
      <c r="J67" s="15">
        <f>IFERROR(VLOOKUP(F67,'[1]Prod-CNAE-CF'!$A$5:$H$72,8,FALSE),'estimativa bc débitos'!$K$17)</f>
        <v>2.6901987662782727E-2</v>
      </c>
      <c r="K67" s="12">
        <f t="shared" si="0"/>
        <v>0.97309801233721727</v>
      </c>
      <c r="L67" s="18">
        <f t="shared" si="3"/>
        <v>38858835.469086178</v>
      </c>
      <c r="M67" s="18">
        <f t="shared" si="4"/>
        <v>41159148.362175941</v>
      </c>
      <c r="N67" s="18">
        <f>IFERROR(VLOOKUP(A67,'[2]estim bc créditos'!$H$4:$L$139,4,FALSE),0)</f>
        <v>1037948.0475753646</v>
      </c>
      <c r="O67" s="18">
        <f>IFERROR(VLOOKUP(A67,'[2]estim bc créditos'!$H$4:$L$139,5,FALSE),0)</f>
        <v>1034544.6126394783</v>
      </c>
    </row>
    <row r="68" spans="1:15" ht="30" x14ac:dyDescent="0.2">
      <c r="A68" s="11">
        <v>275</v>
      </c>
      <c r="B68" s="15" t="s">
        <v>91</v>
      </c>
      <c r="C68" s="11" t="s">
        <v>82</v>
      </c>
      <c r="D68" s="14">
        <f>VLOOKUP(A68,'Correção Ocup Não Determinadas'!A:G,6,FALSE)</f>
        <v>51307227.76230675</v>
      </c>
      <c r="E68" s="14">
        <f>VLOOKUP(A68,'Correção Ocup Não Determinadas'!A:G,7,FALSE)</f>
        <v>58431192.723484956</v>
      </c>
      <c r="F68" s="15" t="s">
        <v>183</v>
      </c>
      <c r="G68" s="15" t="s">
        <v>184</v>
      </c>
      <c r="H68" s="15" t="s">
        <v>239</v>
      </c>
      <c r="I68" s="15" t="s">
        <v>240</v>
      </c>
      <c r="J68" s="15">
        <f>IFERROR(VLOOKUP(F68,'[1]Prod-CNAE-CF'!$A$5:$H$72,8,FALSE),'estimativa bc débitos'!$K$17)</f>
        <v>0.89281124940338508</v>
      </c>
      <c r="K68" s="12">
        <f t="shared" ref="K68:K131" si="5">1-J68</f>
        <v>0.10718875059661492</v>
      </c>
      <c r="L68" s="18">
        <f t="shared" ref="L68:L99" si="6">D68*$K68</f>
        <v>5499557.640417615</v>
      </c>
      <c r="M68" s="18">
        <f t="shared" ref="M68:M99" si="7">E68*$K68</f>
        <v>6263166.5439003697</v>
      </c>
      <c r="N68" s="18">
        <f>IFERROR(VLOOKUP(A68,'[2]estim bc créditos'!$H$4:$L$139,4,FALSE),0)</f>
        <v>1206359.9931466545</v>
      </c>
      <c r="O68" s="18">
        <f>IFERROR(VLOOKUP(A68,'[2]estim bc créditos'!$H$4:$L$139,5,FALSE),0)</f>
        <v>1115677.4683550238</v>
      </c>
    </row>
    <row r="69" spans="1:15" ht="30" x14ac:dyDescent="0.2">
      <c r="A69" s="11">
        <v>276</v>
      </c>
      <c r="B69" s="15" t="s">
        <v>92</v>
      </c>
      <c r="C69" s="11" t="s">
        <v>82</v>
      </c>
      <c r="D69" s="14">
        <f>VLOOKUP(A69,'Correção Ocup Não Determinadas'!A:G,6,FALSE)</f>
        <v>9886372.0393413678</v>
      </c>
      <c r="E69" s="14">
        <f>VLOOKUP(A69,'Correção Ocup Não Determinadas'!A:G,7,FALSE)</f>
        <v>8972150.0096796658</v>
      </c>
      <c r="F69" s="15" t="s">
        <v>183</v>
      </c>
      <c r="G69" s="15" t="s">
        <v>184</v>
      </c>
      <c r="H69" s="15" t="s">
        <v>239</v>
      </c>
      <c r="I69" s="15" t="s">
        <v>240</v>
      </c>
      <c r="J69" s="15">
        <f>IFERROR(VLOOKUP(F69,'[1]Prod-CNAE-CF'!$A$5:$H$72,8,FALSE),'estimativa bc débitos'!$K$17)</f>
        <v>0.89281124940338508</v>
      </c>
      <c r="K69" s="12">
        <f t="shared" si="5"/>
        <v>0.10718875059661492</v>
      </c>
      <c r="L69" s="18">
        <f t="shared" si="6"/>
        <v>1059707.8668303092</v>
      </c>
      <c r="M69" s="18">
        <f t="shared" si="7"/>
        <v>961713.54970296985</v>
      </c>
      <c r="N69" s="18">
        <f>IFERROR(VLOOKUP(A69,'[2]estim bc créditos'!$H$4:$L$139,4,FALSE),0)</f>
        <v>836130.71560907469</v>
      </c>
      <c r="O69" s="18">
        <f>IFERROR(VLOOKUP(A69,'[2]estim bc créditos'!$H$4:$L$139,5,FALSE),0)</f>
        <v>631559.65167467273</v>
      </c>
    </row>
    <row r="70" spans="1:15" ht="30" x14ac:dyDescent="0.2">
      <c r="A70" s="11">
        <v>277</v>
      </c>
      <c r="B70" s="15" t="s">
        <v>93</v>
      </c>
      <c r="C70" s="11" t="s">
        <v>82</v>
      </c>
      <c r="D70" s="14">
        <f>VLOOKUP(A70,'Correção Ocup Não Determinadas'!A:G,6,FALSE)</f>
        <v>22324021.43947335</v>
      </c>
      <c r="E70" s="14">
        <f>VLOOKUP(A70,'Correção Ocup Não Determinadas'!A:G,7,FALSE)</f>
        <v>23036905.852229536</v>
      </c>
      <c r="F70" s="15" t="s">
        <v>183</v>
      </c>
      <c r="G70" s="15" t="s">
        <v>184</v>
      </c>
      <c r="H70" s="15" t="s">
        <v>239</v>
      </c>
      <c r="I70" s="15" t="s">
        <v>240</v>
      </c>
      <c r="J70" s="15">
        <f>IFERROR(VLOOKUP(F70,'[1]Prod-CNAE-CF'!$A$5:$H$72,8,FALSE),'estimativa bc débitos'!$K$17)</f>
        <v>0.89281124940338508</v>
      </c>
      <c r="K70" s="12">
        <f t="shared" si="5"/>
        <v>0.10718875059661492</v>
      </c>
      <c r="L70" s="18">
        <f t="shared" si="6"/>
        <v>2392883.9663891932</v>
      </c>
      <c r="M70" s="18">
        <f t="shared" si="7"/>
        <v>2469297.1559123304</v>
      </c>
      <c r="N70" s="18">
        <f>IFERROR(VLOOKUP(A70,'[2]estim bc créditos'!$H$4:$L$139,4,FALSE),0)</f>
        <v>1043580.6665199923</v>
      </c>
      <c r="O70" s="18">
        <f>IFERROR(VLOOKUP(A70,'[2]estim bc créditos'!$H$4:$L$139,5,FALSE),0)</f>
        <v>820988.39170636714</v>
      </c>
    </row>
    <row r="71" spans="1:15" ht="30" x14ac:dyDescent="0.2">
      <c r="A71" s="11">
        <v>279</v>
      </c>
      <c r="B71" s="15" t="s">
        <v>94</v>
      </c>
      <c r="C71" s="11" t="s">
        <v>82</v>
      </c>
      <c r="D71" s="14">
        <f>VLOOKUP(A71,'Correção Ocup Não Determinadas'!A:G,6,FALSE)</f>
        <v>31591950.994432166</v>
      </c>
      <c r="E71" s="14">
        <f>VLOOKUP(A71,'Correção Ocup Não Determinadas'!A:G,7,FALSE)</f>
        <v>30411177.952436384</v>
      </c>
      <c r="F71" s="15" t="s">
        <v>183</v>
      </c>
      <c r="G71" s="15" t="s">
        <v>184</v>
      </c>
      <c r="H71" s="15" t="s">
        <v>239</v>
      </c>
      <c r="I71" s="15" t="s">
        <v>240</v>
      </c>
      <c r="J71" s="15">
        <f>IFERROR(VLOOKUP(F71,'[1]Prod-CNAE-CF'!$A$5:$H$72,8,FALSE),'estimativa bc débitos'!$K$17)</f>
        <v>0.89281124940338508</v>
      </c>
      <c r="K71" s="12">
        <f t="shared" si="5"/>
        <v>0.10718875059661492</v>
      </c>
      <c r="L71" s="18">
        <f t="shared" si="6"/>
        <v>3386301.7560026702</v>
      </c>
      <c r="M71" s="18">
        <f t="shared" si="7"/>
        <v>3259736.1688929782</v>
      </c>
      <c r="N71" s="18">
        <f>IFERROR(VLOOKUP(A71,'[2]estim bc créditos'!$H$4:$L$139,4,FALSE),0)</f>
        <v>724510.69600001536</v>
      </c>
      <c r="O71" s="18">
        <f>IFERROR(VLOOKUP(A71,'[2]estim bc créditos'!$H$4:$L$139,5,FALSE),0)</f>
        <v>697309.84249443631</v>
      </c>
    </row>
    <row r="72" spans="1:15" x14ac:dyDescent="0.2">
      <c r="A72" s="11">
        <v>290</v>
      </c>
      <c r="B72" s="15" t="s">
        <v>95</v>
      </c>
      <c r="C72" s="11" t="s">
        <v>96</v>
      </c>
      <c r="D72" s="14">
        <f>VLOOKUP(A72,'Correção Ocup Não Determinadas'!A:G,6,FALSE)</f>
        <v>51861092.820047379</v>
      </c>
      <c r="E72" s="14">
        <f>VLOOKUP(A72,'Correção Ocup Não Determinadas'!A:G,7,FALSE)</f>
        <v>55933691.582693368</v>
      </c>
      <c r="F72" s="15" t="s">
        <v>198</v>
      </c>
      <c r="G72" s="15" t="s">
        <v>199</v>
      </c>
      <c r="H72" s="15" t="s">
        <v>218</v>
      </c>
      <c r="I72" s="15" t="s">
        <v>219</v>
      </c>
      <c r="J72" s="15">
        <f>IFERROR(VLOOKUP(F72,'[1]Prod-CNAE-CF'!$A$5:$H$72,8,FALSE),'estimativa bc débitos'!$K$17)</f>
        <v>0.86214151676554773</v>
      </c>
      <c r="K72" s="12">
        <f t="shared" si="5"/>
        <v>0.13785848323445227</v>
      </c>
      <c r="L72" s="18">
        <f t="shared" si="6"/>
        <v>7149491.5950528746</v>
      </c>
      <c r="M72" s="18">
        <f t="shared" si="7"/>
        <v>7710933.8832937572</v>
      </c>
      <c r="N72" s="18">
        <f>IFERROR(VLOOKUP(A72,'[2]estim bc créditos'!$H$4:$L$139,4,FALSE),0)</f>
        <v>870447.66125048755</v>
      </c>
      <c r="O72" s="18">
        <f>IFERROR(VLOOKUP(A72,'[2]estim bc créditos'!$H$4:$L$139,5,FALSE),0)</f>
        <v>1078056.4592710794</v>
      </c>
    </row>
    <row r="73" spans="1:15" x14ac:dyDescent="0.2">
      <c r="A73" s="11">
        <v>291</v>
      </c>
      <c r="B73" s="15" t="s">
        <v>97</v>
      </c>
      <c r="C73" s="11" t="s">
        <v>96</v>
      </c>
      <c r="D73" s="14">
        <f>VLOOKUP(A73,'Correção Ocup Não Determinadas'!A:G,6,FALSE)</f>
        <v>77379816.824483559</v>
      </c>
      <c r="E73" s="14">
        <f>VLOOKUP(A73,'Correção Ocup Não Determinadas'!A:G,7,FALSE)</f>
        <v>82164716.208600372</v>
      </c>
      <c r="F73" s="15" t="s">
        <v>198</v>
      </c>
      <c r="G73" s="15" t="s">
        <v>199</v>
      </c>
      <c r="H73" s="15" t="s">
        <v>218</v>
      </c>
      <c r="I73" s="15" t="s">
        <v>219</v>
      </c>
      <c r="J73" s="15">
        <f>IFERROR(VLOOKUP(F73,'[1]Prod-CNAE-CF'!$A$5:$H$72,8,FALSE),'estimativa bc débitos'!$K$17)</f>
        <v>0.86214151676554773</v>
      </c>
      <c r="K73" s="12">
        <f t="shared" si="5"/>
        <v>0.13785848323445227</v>
      </c>
      <c r="L73" s="18">
        <f t="shared" si="6"/>
        <v>10667464.180383055</v>
      </c>
      <c r="M73" s="18">
        <f t="shared" si="7"/>
        <v>11327103.151906863</v>
      </c>
      <c r="N73" s="18">
        <f>IFERROR(VLOOKUP(A73,'[2]estim bc créditos'!$H$4:$L$139,4,FALSE),0)</f>
        <v>2785600.7113203267</v>
      </c>
      <c r="O73" s="18">
        <f>IFERROR(VLOOKUP(A73,'[2]estim bc créditos'!$H$4:$L$139,5,FALSE),0)</f>
        <v>2936342.1864893096</v>
      </c>
    </row>
    <row r="74" spans="1:15" x14ac:dyDescent="0.2">
      <c r="A74" s="11">
        <v>292</v>
      </c>
      <c r="B74" s="15" t="s">
        <v>98</v>
      </c>
      <c r="C74" s="11" t="s">
        <v>96</v>
      </c>
      <c r="D74" s="14">
        <f>VLOOKUP(A74,'Correção Ocup Não Determinadas'!A:G,6,FALSE)</f>
        <v>56979989.825052589</v>
      </c>
      <c r="E74" s="14">
        <f>VLOOKUP(A74,'Correção Ocup Não Determinadas'!A:G,7,FALSE)</f>
        <v>56832636.817609593</v>
      </c>
      <c r="F74" s="15" t="s">
        <v>198</v>
      </c>
      <c r="G74" s="15" t="s">
        <v>199</v>
      </c>
      <c r="H74" s="15" t="s">
        <v>220</v>
      </c>
      <c r="I74" s="15" t="s">
        <v>221</v>
      </c>
      <c r="J74" s="15">
        <f>IFERROR(VLOOKUP(F74,'[1]Prod-CNAE-CF'!$A$5:$H$72,8,FALSE),'estimativa bc débitos'!$K$17)</f>
        <v>0.86214151676554773</v>
      </c>
      <c r="K74" s="12">
        <f t="shared" si="5"/>
        <v>0.13785848323445227</v>
      </c>
      <c r="L74" s="18">
        <f t="shared" si="6"/>
        <v>7855174.9719962729</v>
      </c>
      <c r="M74" s="18">
        <f t="shared" si="7"/>
        <v>7834861.1098901471</v>
      </c>
      <c r="N74" s="18">
        <f>IFERROR(VLOOKUP(A74,'[2]estim bc créditos'!$H$4:$L$139,4,FALSE),0)</f>
        <v>2857817.5707046469</v>
      </c>
      <c r="O74" s="18">
        <f>IFERROR(VLOOKUP(A74,'[2]estim bc créditos'!$H$4:$L$139,5,FALSE),0)</f>
        <v>2356179.5046983818</v>
      </c>
    </row>
    <row r="75" spans="1:15" x14ac:dyDescent="0.2">
      <c r="A75" s="11">
        <v>293</v>
      </c>
      <c r="B75" s="15" t="s">
        <v>99</v>
      </c>
      <c r="C75" s="11" t="s">
        <v>96</v>
      </c>
      <c r="D75" s="14">
        <f>VLOOKUP(A75,'Correção Ocup Não Determinadas'!A:G,6,FALSE)</f>
        <v>22504076.197492</v>
      </c>
      <c r="E75" s="14">
        <f>VLOOKUP(A75,'Correção Ocup Não Determinadas'!A:G,7,FALSE)</f>
        <v>23324937.076988678</v>
      </c>
      <c r="F75" s="15" t="s">
        <v>198</v>
      </c>
      <c r="G75" s="15" t="s">
        <v>199</v>
      </c>
      <c r="H75" s="15" t="s">
        <v>226</v>
      </c>
      <c r="I75" s="15" t="s">
        <v>227</v>
      </c>
      <c r="J75" s="15">
        <f>IFERROR(VLOOKUP(F75,'[1]Prod-CNAE-CF'!$A$5:$H$72,8,FALSE),'estimativa bc débitos'!$K$17)</f>
        <v>0.86214151676554773</v>
      </c>
      <c r="K75" s="12">
        <f t="shared" si="5"/>
        <v>0.13785848323445227</v>
      </c>
      <c r="L75" s="18">
        <f t="shared" si="6"/>
        <v>3102377.8111787871</v>
      </c>
      <c r="M75" s="18">
        <f t="shared" si="7"/>
        <v>3215540.446972698</v>
      </c>
      <c r="N75" s="18">
        <f>IFERROR(VLOOKUP(A75,'[2]estim bc créditos'!$H$4:$L$139,4,FALSE),0)</f>
        <v>692849.16604823235</v>
      </c>
      <c r="O75" s="18">
        <f>IFERROR(VLOOKUP(A75,'[2]estim bc créditos'!$H$4:$L$139,5,FALSE),0)</f>
        <v>1022313.6598242915</v>
      </c>
    </row>
    <row r="76" spans="1:15" x14ac:dyDescent="0.2">
      <c r="A76" s="11">
        <v>294</v>
      </c>
      <c r="B76" s="15" t="s">
        <v>100</v>
      </c>
      <c r="C76" s="11" t="s">
        <v>96</v>
      </c>
      <c r="D76" s="14">
        <f>VLOOKUP(A76,'Correção Ocup Não Determinadas'!A:G,6,FALSE)</f>
        <v>165507660.60832283</v>
      </c>
      <c r="E76" s="14">
        <f>VLOOKUP(A76,'Correção Ocup Não Determinadas'!A:G,7,FALSE)</f>
        <v>171677267.55599913</v>
      </c>
      <c r="F76" s="15" t="s">
        <v>198</v>
      </c>
      <c r="G76" s="15" t="s">
        <v>199</v>
      </c>
      <c r="H76" s="15" t="s">
        <v>224</v>
      </c>
      <c r="I76" s="15" t="s">
        <v>225</v>
      </c>
      <c r="J76" s="15">
        <f>IFERROR(VLOOKUP(F76,'[1]Prod-CNAE-CF'!$A$5:$H$72,8,FALSE),'estimativa bc débitos'!$K$17)</f>
        <v>0.86214151676554773</v>
      </c>
      <c r="K76" s="12">
        <f t="shared" si="5"/>
        <v>0.13785848323445227</v>
      </c>
      <c r="L76" s="18">
        <f t="shared" si="6"/>
        <v>22816635.05514589</v>
      </c>
      <c r="M76" s="18">
        <f t="shared" si="7"/>
        <v>23667167.711105283</v>
      </c>
      <c r="N76" s="18">
        <f>IFERROR(VLOOKUP(A76,'[2]estim bc créditos'!$H$4:$L$139,4,FALSE),0)</f>
        <v>18342868.157378014</v>
      </c>
      <c r="O76" s="18">
        <f>IFERROR(VLOOKUP(A76,'[2]estim bc créditos'!$H$4:$L$139,5,FALSE),0)</f>
        <v>19178808.509330045</v>
      </c>
    </row>
    <row r="77" spans="1:15" ht="30" x14ac:dyDescent="0.2">
      <c r="A77" s="11">
        <v>295</v>
      </c>
      <c r="B77" s="15" t="s">
        <v>101</v>
      </c>
      <c r="C77" s="11" t="s">
        <v>96</v>
      </c>
      <c r="D77" s="14">
        <f>VLOOKUP(A77,'Correção Ocup Não Determinadas'!A:G,6,FALSE)</f>
        <v>164771235.93625253</v>
      </c>
      <c r="E77" s="14">
        <f>VLOOKUP(A77,'Correção Ocup Não Determinadas'!A:G,7,FALSE)</f>
        <v>173731734.13353977</v>
      </c>
      <c r="F77" s="15" t="s">
        <v>198</v>
      </c>
      <c r="G77" s="15" t="s">
        <v>199</v>
      </c>
      <c r="H77" s="15" t="s">
        <v>222</v>
      </c>
      <c r="I77" s="15" t="s">
        <v>223</v>
      </c>
      <c r="J77" s="15">
        <f>IFERROR(VLOOKUP(F77,'[1]Prod-CNAE-CF'!$A$5:$H$72,8,FALSE),'estimativa bc débitos'!$K$17)</f>
        <v>0.86214151676554773</v>
      </c>
      <c r="K77" s="12">
        <f t="shared" si="5"/>
        <v>0.13785848323445227</v>
      </c>
      <c r="L77" s="18">
        <f t="shared" si="6"/>
        <v>22715112.666837849</v>
      </c>
      <c r="M77" s="18">
        <f t="shared" si="7"/>
        <v>23950393.35734091</v>
      </c>
      <c r="N77" s="18">
        <f>IFERROR(VLOOKUP(A77,'[2]estim bc créditos'!$H$4:$L$139,4,FALSE),0)</f>
        <v>5534059.3693548106</v>
      </c>
      <c r="O77" s="18">
        <f>IFERROR(VLOOKUP(A77,'[2]estim bc créditos'!$H$4:$L$139,5,FALSE),0)</f>
        <v>5610155.8485473655</v>
      </c>
    </row>
    <row r="78" spans="1:15" ht="30" x14ac:dyDescent="0.2">
      <c r="A78" s="11">
        <v>296</v>
      </c>
      <c r="B78" s="15" t="s">
        <v>102</v>
      </c>
      <c r="C78" s="11" t="s">
        <v>96</v>
      </c>
      <c r="D78" s="14">
        <f>VLOOKUP(A78,'Correção Ocup Não Determinadas'!A:G,6,FALSE)</f>
        <v>63866334.019607268</v>
      </c>
      <c r="E78" s="14">
        <f>VLOOKUP(A78,'Correção Ocup Não Determinadas'!A:G,7,FALSE)</f>
        <v>69633429.047184676</v>
      </c>
      <c r="F78" s="15" t="s">
        <v>198</v>
      </c>
      <c r="G78" s="15" t="s">
        <v>199</v>
      </c>
      <c r="H78" s="15" t="s">
        <v>222</v>
      </c>
      <c r="I78" s="15" t="s">
        <v>223</v>
      </c>
      <c r="J78" s="15">
        <f>IFERROR(VLOOKUP(F78,'[1]Prod-CNAE-CF'!$A$5:$H$72,8,FALSE),'estimativa bc débitos'!$K$17)</f>
        <v>0.86214151676554773</v>
      </c>
      <c r="K78" s="12">
        <f t="shared" si="5"/>
        <v>0.13785848323445227</v>
      </c>
      <c r="L78" s="18">
        <f t="shared" si="6"/>
        <v>8804515.9376879577</v>
      </c>
      <c r="M78" s="18">
        <f t="shared" si="7"/>
        <v>9599558.9108587299</v>
      </c>
      <c r="N78" s="18">
        <f>IFERROR(VLOOKUP(A78,'[2]estim bc créditos'!$H$4:$L$139,4,FALSE),0)</f>
        <v>2291759.7388086473</v>
      </c>
      <c r="O78" s="18">
        <f>IFERROR(VLOOKUP(A78,'[2]estim bc créditos'!$H$4:$L$139,5,FALSE),0)</f>
        <v>2654987.9171142383</v>
      </c>
    </row>
    <row r="79" spans="1:15" ht="45" x14ac:dyDescent="0.2">
      <c r="A79" s="11">
        <v>311</v>
      </c>
      <c r="B79" s="15" t="s">
        <v>103</v>
      </c>
      <c r="C79" s="11" t="s">
        <v>164</v>
      </c>
      <c r="D79" s="14">
        <f>VLOOKUP(A79,'Correção Ocup Não Determinadas'!A:G,6,FALSE)</f>
        <v>3007408.2682002718</v>
      </c>
      <c r="E79" s="14">
        <f>VLOOKUP(A79,'Correção Ocup Não Determinadas'!A:G,7,FALSE)</f>
        <v>3828743.5076909331</v>
      </c>
      <c r="F79" s="15" t="s">
        <v>187</v>
      </c>
      <c r="G79" s="15" t="s">
        <v>188</v>
      </c>
      <c r="H79" s="15" t="s">
        <v>200</v>
      </c>
      <c r="I79" s="15" t="s">
        <v>201</v>
      </c>
      <c r="J79" s="15">
        <f>IFERROR(VLOOKUP(F79,'[1]Prod-CNAE-CF'!$A$5:$H$72,8,FALSE),'estimativa bc débitos'!$K$17)</f>
        <v>1.7361587282431611E-2</v>
      </c>
      <c r="K79" s="12">
        <f t="shared" si="5"/>
        <v>0.98263841271756835</v>
      </c>
      <c r="L79" s="18">
        <f t="shared" si="6"/>
        <v>2955194.8870580061</v>
      </c>
      <c r="M79" s="18">
        <f t="shared" si="7"/>
        <v>3762270.4431001134</v>
      </c>
      <c r="N79" s="18">
        <f>IFERROR(VLOOKUP(A79,'[2]estim bc créditos'!$H$4:$L$139,4,FALSE),0)</f>
        <v>64411.138600582817</v>
      </c>
      <c r="O79" s="18">
        <f>IFERROR(VLOOKUP(A79,'[2]estim bc créditos'!$H$4:$L$139,5,FALSE),0)</f>
        <v>44733.480498882607</v>
      </c>
    </row>
    <row r="80" spans="1:15" ht="45" x14ac:dyDescent="0.2">
      <c r="A80" s="11">
        <v>312</v>
      </c>
      <c r="B80" s="15" t="s">
        <v>104</v>
      </c>
      <c r="C80" s="11" t="s">
        <v>164</v>
      </c>
      <c r="D80" s="14">
        <f>VLOOKUP(A80,'Correção Ocup Não Determinadas'!A:G,6,FALSE)</f>
        <v>44472724.676792711</v>
      </c>
      <c r="E80" s="14">
        <f>VLOOKUP(A80,'Correção Ocup Não Determinadas'!A:G,7,FALSE)</f>
        <v>48281359.744823202</v>
      </c>
      <c r="F80" s="15" t="s">
        <v>185</v>
      </c>
      <c r="G80" s="15" t="s">
        <v>186</v>
      </c>
      <c r="H80" s="15" t="s">
        <v>204</v>
      </c>
      <c r="I80" s="15" t="s">
        <v>189</v>
      </c>
      <c r="J80" s="15">
        <f>IFERROR(VLOOKUP(F80,'[1]Prod-CNAE-CF'!$A$5:$H$72,8,FALSE),'estimativa bc débitos'!$K$17)</f>
        <v>0.41733223453661844</v>
      </c>
      <c r="K80" s="12">
        <f t="shared" si="5"/>
        <v>0.58266776546338162</v>
      </c>
      <c r="L80" s="18">
        <f t="shared" si="6"/>
        <v>25912823.111494999</v>
      </c>
      <c r="M80" s="18">
        <f t="shared" si="7"/>
        <v>28131991.996049799</v>
      </c>
      <c r="N80" s="18">
        <f>IFERROR(VLOOKUP(A80,'[2]estim bc créditos'!$H$4:$L$139,4,FALSE),0)</f>
        <v>1729265.3074576491</v>
      </c>
      <c r="O80" s="18">
        <f>IFERROR(VLOOKUP(A80,'[2]estim bc créditos'!$H$4:$L$139,5,FALSE),0)</f>
        <v>986130.20764332451</v>
      </c>
    </row>
    <row r="81" spans="1:15" ht="45" x14ac:dyDescent="0.2">
      <c r="A81" s="11">
        <v>313</v>
      </c>
      <c r="B81" s="15" t="s">
        <v>105</v>
      </c>
      <c r="C81" s="11" t="s">
        <v>164</v>
      </c>
      <c r="D81" s="14">
        <f>VLOOKUP(A81,'Correção Ocup Não Determinadas'!A:G,6,FALSE)</f>
        <v>23043369.716081958</v>
      </c>
      <c r="E81" s="14">
        <f>VLOOKUP(A81,'Correção Ocup Não Determinadas'!A:G,7,FALSE)</f>
        <v>25069321.562105443</v>
      </c>
      <c r="F81" s="15" t="s">
        <v>187</v>
      </c>
      <c r="G81" s="15" t="s">
        <v>188</v>
      </c>
      <c r="H81" s="15" t="s">
        <v>200</v>
      </c>
      <c r="I81" s="15" t="s">
        <v>201</v>
      </c>
      <c r="J81" s="15">
        <f>IFERROR(VLOOKUP(F81,'[1]Prod-CNAE-CF'!$A$5:$H$72,8,FALSE),'estimativa bc débitos'!$K$17)</f>
        <v>1.7361587282431611E-2</v>
      </c>
      <c r="K81" s="12">
        <f t="shared" si="5"/>
        <v>0.98263841271756835</v>
      </c>
      <c r="L81" s="18">
        <f t="shared" si="6"/>
        <v>22643300.241474859</v>
      </c>
      <c r="M81" s="18">
        <f t="shared" si="7"/>
        <v>24634078.347693603</v>
      </c>
      <c r="N81" s="18">
        <f>IFERROR(VLOOKUP(A81,'[2]estim bc créditos'!$H$4:$L$139,4,FALSE),0)</f>
        <v>569781.79802026914</v>
      </c>
      <c r="O81" s="18">
        <f>IFERROR(VLOOKUP(A81,'[2]estim bc créditos'!$H$4:$L$139,5,FALSE),0)</f>
        <v>381274.8804260483</v>
      </c>
    </row>
    <row r="82" spans="1:15" ht="45" x14ac:dyDescent="0.2">
      <c r="A82" s="11">
        <v>314</v>
      </c>
      <c r="B82" s="15" t="s">
        <v>106</v>
      </c>
      <c r="C82" s="11" t="s">
        <v>164</v>
      </c>
      <c r="D82" s="14">
        <f>VLOOKUP(A82,'Correção Ocup Não Determinadas'!A:G,6,FALSE)</f>
        <v>6405359.9382257219</v>
      </c>
      <c r="E82" s="14">
        <f>VLOOKUP(A82,'Correção Ocup Não Determinadas'!A:G,7,FALSE)</f>
        <v>8828138.0058813617</v>
      </c>
      <c r="F82" s="15" t="s">
        <v>187</v>
      </c>
      <c r="G82" s="15" t="s">
        <v>188</v>
      </c>
      <c r="H82" s="15" t="s">
        <v>200</v>
      </c>
      <c r="I82" s="15" t="s">
        <v>201</v>
      </c>
      <c r="J82" s="15">
        <f>IFERROR(VLOOKUP(F82,'[1]Prod-CNAE-CF'!$A$5:$H$72,8,FALSE),'estimativa bc débitos'!$K$17)</f>
        <v>1.7361587282431611E-2</v>
      </c>
      <c r="K82" s="12">
        <f t="shared" si="5"/>
        <v>0.98263841271756835</v>
      </c>
      <c r="L82" s="18">
        <f t="shared" si="6"/>
        <v>6294152.7225828255</v>
      </c>
      <c r="M82" s="18">
        <f t="shared" si="7"/>
        <v>8674867.5173509009</v>
      </c>
      <c r="N82" s="18">
        <f>IFERROR(VLOOKUP(A82,'[2]estim bc créditos'!$H$4:$L$139,4,FALSE),0)</f>
        <v>86400.503746660324</v>
      </c>
      <c r="O82" s="18">
        <f>IFERROR(VLOOKUP(A82,'[2]estim bc créditos'!$H$4:$L$139,5,FALSE),0)</f>
        <v>486190.84800256096</v>
      </c>
    </row>
    <row r="83" spans="1:15" ht="45" x14ac:dyDescent="0.2">
      <c r="A83" s="11">
        <v>316</v>
      </c>
      <c r="B83" s="15" t="s">
        <v>107</v>
      </c>
      <c r="C83" s="11" t="s">
        <v>164</v>
      </c>
      <c r="D83" s="14">
        <f>VLOOKUP(A83,'Correção Ocup Não Determinadas'!A:G,6,FALSE)</f>
        <v>1609091.8450870477</v>
      </c>
      <c r="E83" s="14">
        <f>VLOOKUP(A83,'Correção Ocup Não Determinadas'!A:G,7,FALSE)</f>
        <v>1237019.1834265802</v>
      </c>
      <c r="F83" s="15" t="s">
        <v>187</v>
      </c>
      <c r="G83" s="15" t="s">
        <v>188</v>
      </c>
      <c r="H83" s="15" t="s">
        <v>200</v>
      </c>
      <c r="I83" s="15" t="s">
        <v>201</v>
      </c>
      <c r="J83" s="15">
        <f>IFERROR(VLOOKUP(F83,'[1]Prod-CNAE-CF'!$A$5:$H$72,8,FALSE),'estimativa bc débitos'!$K$17)</f>
        <v>1.7361587282431611E-2</v>
      </c>
      <c r="K83" s="12">
        <f t="shared" si="5"/>
        <v>0.98263841271756835</v>
      </c>
      <c r="L83" s="18">
        <f t="shared" si="6"/>
        <v>1581155.4565731199</v>
      </c>
      <c r="M83" s="18">
        <f t="shared" si="7"/>
        <v>1215542.5669034773</v>
      </c>
      <c r="N83" s="18">
        <f>IFERROR(VLOOKUP(A83,'[2]estim bc créditos'!$H$4:$L$139,4,FALSE),0)</f>
        <v>27961.378306947521</v>
      </c>
      <c r="O83" s="18">
        <f>IFERROR(VLOOKUP(A83,'[2]estim bc créditos'!$H$4:$L$139,5,FALSE),0)</f>
        <v>29687.016937319651</v>
      </c>
    </row>
    <row r="84" spans="1:15" ht="45" x14ac:dyDescent="0.2">
      <c r="A84" s="11">
        <v>317</v>
      </c>
      <c r="B84" s="15" t="s">
        <v>108</v>
      </c>
      <c r="C84" s="11" t="s">
        <v>164</v>
      </c>
      <c r="D84" s="14">
        <f>VLOOKUP(A84,'Correção Ocup Não Determinadas'!A:G,6,FALSE)</f>
        <v>46952193.320501193</v>
      </c>
      <c r="E84" s="14">
        <f>VLOOKUP(A84,'Correção Ocup Não Determinadas'!A:G,7,FALSE)</f>
        <v>51078084.353155203</v>
      </c>
      <c r="F84" s="15" t="s">
        <v>194</v>
      </c>
      <c r="G84" s="15" t="s">
        <v>195</v>
      </c>
      <c r="H84" s="15" t="s">
        <v>216</v>
      </c>
      <c r="I84" s="15" t="s">
        <v>217</v>
      </c>
      <c r="J84" s="15">
        <f>IFERROR(VLOOKUP(F84,'[1]Prod-CNAE-CF'!$A$5:$H$72,8,FALSE),'estimativa bc débitos'!$K$17)</f>
        <v>0.48506644033453322</v>
      </c>
      <c r="K84" s="12">
        <f t="shared" si="5"/>
        <v>0.51493355966546672</v>
      </c>
      <c r="L84" s="18">
        <f t="shared" si="6"/>
        <v>24177260.040626828</v>
      </c>
      <c r="M84" s="18">
        <f t="shared" si="7"/>
        <v>26301819.796863187</v>
      </c>
      <c r="N84" s="18">
        <f>IFERROR(VLOOKUP(A84,'[2]estim bc créditos'!$H$4:$L$139,4,FALSE),0)</f>
        <v>551982.16296361818</v>
      </c>
      <c r="O84" s="18">
        <f>IFERROR(VLOOKUP(A84,'[2]estim bc créditos'!$H$4:$L$139,5,FALSE),0)</f>
        <v>534059.18676134979</v>
      </c>
    </row>
    <row r="85" spans="1:15" ht="45" x14ac:dyDescent="0.2">
      <c r="A85" s="11">
        <v>318</v>
      </c>
      <c r="B85" s="15" t="s">
        <v>109</v>
      </c>
      <c r="C85" s="11" t="s">
        <v>164</v>
      </c>
      <c r="D85" s="14">
        <f>VLOOKUP(A85,'Correção Ocup Não Determinadas'!A:G,6,FALSE)</f>
        <v>7437151.5905083679</v>
      </c>
      <c r="E85" s="14">
        <f>VLOOKUP(A85,'Correção Ocup Não Determinadas'!A:G,7,FALSE)</f>
        <v>7634687.1260977099</v>
      </c>
      <c r="F85" s="15" t="s">
        <v>187</v>
      </c>
      <c r="G85" s="15" t="s">
        <v>188</v>
      </c>
      <c r="H85" s="15" t="s">
        <v>200</v>
      </c>
      <c r="I85" s="15" t="s">
        <v>201</v>
      </c>
      <c r="J85" s="15">
        <f>IFERROR(VLOOKUP(F85,'[1]Prod-CNAE-CF'!$A$5:$H$72,8,FALSE),'estimativa bc débitos'!$K$17)</f>
        <v>1.7361587282431611E-2</v>
      </c>
      <c r="K85" s="12">
        <f t="shared" si="5"/>
        <v>0.98263841271756835</v>
      </c>
      <c r="L85" s="18">
        <f t="shared" si="6"/>
        <v>7308030.8340370813</v>
      </c>
      <c r="M85" s="18">
        <f t="shared" si="7"/>
        <v>7502136.839183907</v>
      </c>
      <c r="N85" s="18">
        <f>IFERROR(VLOOKUP(A85,'[2]estim bc créditos'!$H$4:$L$139,4,FALSE),0)</f>
        <v>107291.46218138072</v>
      </c>
      <c r="O85" s="18">
        <f>IFERROR(VLOOKUP(A85,'[2]estim bc créditos'!$H$4:$L$139,5,FALSE),0)</f>
        <v>58247.667847480829</v>
      </c>
    </row>
    <row r="86" spans="1:15" ht="45" x14ac:dyDescent="0.2">
      <c r="A86" s="11">
        <v>319</v>
      </c>
      <c r="B86" s="15" t="s">
        <v>110</v>
      </c>
      <c r="C86" s="11" t="s">
        <v>164</v>
      </c>
      <c r="D86" s="14">
        <f>VLOOKUP(A86,'Correção Ocup Não Determinadas'!A:G,6,FALSE)</f>
        <v>30752838.194003571</v>
      </c>
      <c r="E86" s="14">
        <f>VLOOKUP(A86,'Correção Ocup Não Determinadas'!A:G,7,FALSE)</f>
        <v>34426580.3677999</v>
      </c>
      <c r="F86" s="15" t="s">
        <v>187</v>
      </c>
      <c r="G86" s="15" t="s">
        <v>188</v>
      </c>
      <c r="H86" s="15" t="s">
        <v>200</v>
      </c>
      <c r="I86" s="15" t="s">
        <v>201</v>
      </c>
      <c r="J86" s="15">
        <f>IFERROR(VLOOKUP(F86,'[1]Prod-CNAE-CF'!$A$5:$H$72,8,FALSE),'estimativa bc débitos'!$K$17)</f>
        <v>1.7361587282431611E-2</v>
      </c>
      <c r="K86" s="12">
        <f t="shared" si="5"/>
        <v>0.98263841271756835</v>
      </c>
      <c r="L86" s="18">
        <f t="shared" si="6"/>
        <v>30218920.109515879</v>
      </c>
      <c r="M86" s="18">
        <f t="shared" si="7"/>
        <v>33828880.287908696</v>
      </c>
      <c r="N86" s="18">
        <f>IFERROR(VLOOKUP(A86,'[2]estim bc créditos'!$H$4:$L$139,4,FALSE),0)</f>
        <v>933591.64778553369</v>
      </c>
      <c r="O86" s="18">
        <f>IFERROR(VLOOKUP(A86,'[2]estim bc créditos'!$H$4:$L$139,5,FALSE),0)</f>
        <v>1094684.2506686917</v>
      </c>
    </row>
    <row r="87" spans="1:15" ht="45" x14ac:dyDescent="0.2">
      <c r="A87" s="11">
        <v>320</v>
      </c>
      <c r="B87" s="15" t="s">
        <v>111</v>
      </c>
      <c r="C87" s="11" t="s">
        <v>164</v>
      </c>
      <c r="D87" s="14">
        <f>VLOOKUP(A87,'Correção Ocup Não Determinadas'!A:G,6,FALSE)</f>
        <v>791449.88653111539</v>
      </c>
      <c r="E87" s="14">
        <f>VLOOKUP(A87,'Correção Ocup Não Determinadas'!A:G,7,FALSE)</f>
        <v>331182.1054382273</v>
      </c>
      <c r="F87" s="15" t="s">
        <v>187</v>
      </c>
      <c r="G87" s="15" t="s">
        <v>188</v>
      </c>
      <c r="H87" s="15" t="s">
        <v>200</v>
      </c>
      <c r="I87" s="15" t="s">
        <v>201</v>
      </c>
      <c r="J87" s="15">
        <f>IFERROR(VLOOKUP(F87,'[1]Prod-CNAE-CF'!$A$5:$H$72,8,FALSE),'estimativa bc débitos'!$K$17)</f>
        <v>1.7361587282431611E-2</v>
      </c>
      <c r="K87" s="12">
        <f t="shared" si="5"/>
        <v>0.98263841271756835</v>
      </c>
      <c r="L87" s="18">
        <f t="shared" si="6"/>
        <v>777709.06024643476</v>
      </c>
      <c r="M87" s="18">
        <f t="shared" si="7"/>
        <v>325432.25840828201</v>
      </c>
      <c r="N87" s="18">
        <f>IFERROR(VLOOKUP(A87,'[2]estim bc créditos'!$H$4:$L$139,4,FALSE),0)</f>
        <v>44738.357545914514</v>
      </c>
      <c r="O87" s="18">
        <f>IFERROR(VLOOKUP(A87,'[2]estim bc créditos'!$H$4:$L$139,5,FALSE),0)</f>
        <v>6393.1811629382082</v>
      </c>
    </row>
    <row r="88" spans="1:15" ht="45" x14ac:dyDescent="0.2">
      <c r="A88" s="11">
        <v>321</v>
      </c>
      <c r="B88" s="15" t="s">
        <v>112</v>
      </c>
      <c r="C88" s="11" t="s">
        <v>164</v>
      </c>
      <c r="D88" s="14">
        <f>VLOOKUP(A88,'Correção Ocup Não Determinadas'!A:G,6,FALSE)</f>
        <v>7942176.5947345374</v>
      </c>
      <c r="E88" s="14">
        <f>VLOOKUP(A88,'Correção Ocup Não Determinadas'!A:G,7,FALSE)</f>
        <v>7021915.1786003374</v>
      </c>
      <c r="F88" s="15" t="s">
        <v>187</v>
      </c>
      <c r="G88" s="15" t="s">
        <v>188</v>
      </c>
      <c r="H88" s="15" t="s">
        <v>200</v>
      </c>
      <c r="I88" s="15" t="s">
        <v>201</v>
      </c>
      <c r="J88" s="15">
        <f>IFERROR(VLOOKUP(F88,'[1]Prod-CNAE-CF'!$A$5:$H$72,8,FALSE),'estimativa bc débitos'!$K$17)</f>
        <v>1.7361587282431611E-2</v>
      </c>
      <c r="K88" s="12">
        <f t="shared" si="5"/>
        <v>0.98263841271756835</v>
      </c>
      <c r="L88" s="18">
        <f t="shared" si="6"/>
        <v>7804287.8025725679</v>
      </c>
      <c r="M88" s="18">
        <f t="shared" si="7"/>
        <v>6900003.5853372356</v>
      </c>
      <c r="N88" s="18">
        <f>IFERROR(VLOOKUP(A88,'[2]estim bc créditos'!$H$4:$L$139,4,FALSE),0)</f>
        <v>254091.96858917925</v>
      </c>
      <c r="O88" s="18">
        <f>IFERROR(VLOOKUP(A88,'[2]estim bc créditos'!$H$4:$L$139,5,FALSE),0)</f>
        <v>139013.68473220267</v>
      </c>
    </row>
    <row r="89" spans="1:15" ht="30" x14ac:dyDescent="0.2">
      <c r="A89" s="11">
        <v>322</v>
      </c>
      <c r="B89" s="15" t="s">
        <v>113</v>
      </c>
      <c r="C89" s="11" t="s">
        <v>62</v>
      </c>
      <c r="D89" s="14">
        <f>VLOOKUP(A89,'Correção Ocup Não Determinadas'!A:G,6,FALSE)</f>
        <v>91364285.406452656</v>
      </c>
      <c r="E89" s="14">
        <f>VLOOKUP(A89,'Correção Ocup Não Determinadas'!A:G,7,FALSE)</f>
        <v>94444296.619339377</v>
      </c>
      <c r="F89" s="15" t="s">
        <v>181</v>
      </c>
      <c r="G89" s="15" t="s">
        <v>182</v>
      </c>
      <c r="H89" s="15" t="s">
        <v>247</v>
      </c>
      <c r="I89" s="15" t="s">
        <v>248</v>
      </c>
      <c r="J89" s="15">
        <f>IFERROR(VLOOKUP(F89,'[1]Prod-CNAE-CF'!$A$5:$H$72,8,FALSE),'estimativa bc débitos'!$K$17)</f>
        <v>0.87671711823096921</v>
      </c>
      <c r="K89" s="12">
        <f t="shared" si="5"/>
        <v>0.12328288176903079</v>
      </c>
      <c r="L89" s="18">
        <f t="shared" si="6"/>
        <v>11263652.395675689</v>
      </c>
      <c r="M89" s="18">
        <f t="shared" si="7"/>
        <v>11643365.053881291</v>
      </c>
      <c r="N89" s="18">
        <f>IFERROR(VLOOKUP(A89,'[2]estim bc créditos'!$H$4:$L$139,4,FALSE),0)</f>
        <v>4023198.1076183943</v>
      </c>
      <c r="O89" s="18">
        <f>IFERROR(VLOOKUP(A89,'[2]estim bc créditos'!$H$4:$L$139,5,FALSE),0)</f>
        <v>4365271.7287142249</v>
      </c>
    </row>
    <row r="90" spans="1:15" ht="45" x14ac:dyDescent="0.2">
      <c r="A90" s="11">
        <v>323</v>
      </c>
      <c r="B90" s="15" t="s">
        <v>114</v>
      </c>
      <c r="C90" s="11" t="s">
        <v>164</v>
      </c>
      <c r="D90" s="14">
        <f>VLOOKUP(A90,'Correção Ocup Não Determinadas'!A:G,6,FALSE)</f>
        <v>2819960.5451832614</v>
      </c>
      <c r="E90" s="14">
        <f>VLOOKUP(A90,'Correção Ocup Não Determinadas'!A:G,7,FALSE)</f>
        <v>3046021.7777197245</v>
      </c>
      <c r="F90" s="15" t="s">
        <v>187</v>
      </c>
      <c r="G90" s="15" t="s">
        <v>188</v>
      </c>
      <c r="H90" s="15" t="s">
        <v>200</v>
      </c>
      <c r="I90" s="15" t="s">
        <v>201</v>
      </c>
      <c r="J90" s="15">
        <f>IFERROR(VLOOKUP(F90,'[1]Prod-CNAE-CF'!$A$5:$H$72,8,FALSE),'estimativa bc débitos'!$K$17)</f>
        <v>1.7361587282431611E-2</v>
      </c>
      <c r="K90" s="12">
        <f t="shared" si="5"/>
        <v>0.98263841271756835</v>
      </c>
      <c r="L90" s="18">
        <f t="shared" si="6"/>
        <v>2771001.5540450485</v>
      </c>
      <c r="M90" s="18">
        <f t="shared" si="7"/>
        <v>2993138.0047616558</v>
      </c>
      <c r="N90" s="18">
        <f>IFERROR(VLOOKUP(A90,'[2]estim bc créditos'!$H$4:$L$139,4,FALSE),0)</f>
        <v>65376.898450668275</v>
      </c>
      <c r="O90" s="18">
        <f>IFERROR(VLOOKUP(A90,'[2]estim bc créditos'!$H$4:$L$139,5,FALSE),0)</f>
        <v>26439.316084894021</v>
      </c>
    </row>
    <row r="91" spans="1:15" ht="45" x14ac:dyDescent="0.2">
      <c r="A91" s="11">
        <v>324</v>
      </c>
      <c r="B91" s="15" t="s">
        <v>115</v>
      </c>
      <c r="C91" s="11" t="s">
        <v>62</v>
      </c>
      <c r="D91" s="14">
        <f>VLOOKUP(A91,'Correção Ocup Não Determinadas'!A:G,6,FALSE)</f>
        <v>28505938.213532034</v>
      </c>
      <c r="E91" s="14">
        <f>VLOOKUP(A91,'Correção Ocup Não Determinadas'!A:G,7,FALSE)</f>
        <v>28426074.091016166</v>
      </c>
      <c r="F91" s="15" t="s">
        <v>181</v>
      </c>
      <c r="G91" s="15" t="s">
        <v>182</v>
      </c>
      <c r="H91" s="15" t="s">
        <v>245</v>
      </c>
      <c r="I91" s="15" t="s">
        <v>246</v>
      </c>
      <c r="J91" s="15">
        <f>IFERROR(VLOOKUP(F91,'[1]Prod-CNAE-CF'!$A$5:$H$72,8,FALSE),'estimativa bc débitos'!$K$17)</f>
        <v>0.87671711823096921</v>
      </c>
      <c r="K91" s="12">
        <f t="shared" si="5"/>
        <v>0.12328288176903079</v>
      </c>
      <c r="L91" s="18">
        <f t="shared" si="6"/>
        <v>3514294.2104941667</v>
      </c>
      <c r="M91" s="18">
        <f t="shared" si="7"/>
        <v>3504448.3313204553</v>
      </c>
      <c r="N91" s="18">
        <f>IFERROR(VLOOKUP(A91,'[2]estim bc créditos'!$H$4:$L$139,4,FALSE),0)</f>
        <v>2407578.259116258</v>
      </c>
      <c r="O91" s="18">
        <f>IFERROR(VLOOKUP(A91,'[2]estim bc créditos'!$H$4:$L$139,5,FALSE),0)</f>
        <v>2369038.9225690365</v>
      </c>
    </row>
    <row r="92" spans="1:15" ht="45" x14ac:dyDescent="0.2">
      <c r="A92" s="11">
        <v>325</v>
      </c>
      <c r="B92" s="15" t="s">
        <v>116</v>
      </c>
      <c r="C92" s="11" t="s">
        <v>164</v>
      </c>
      <c r="D92" s="14">
        <f>VLOOKUP(A92,'Correção Ocup Não Determinadas'!A:G,6,FALSE)</f>
        <v>1448374.2593057228</v>
      </c>
      <c r="E92" s="14">
        <f>VLOOKUP(A92,'Correção Ocup Não Determinadas'!A:G,7,FALSE)</f>
        <v>1383745.7261994299</v>
      </c>
      <c r="F92" s="15" t="s">
        <v>187</v>
      </c>
      <c r="G92" s="15" t="s">
        <v>188</v>
      </c>
      <c r="H92" s="15" t="s">
        <v>200</v>
      </c>
      <c r="I92" s="15" t="s">
        <v>201</v>
      </c>
      <c r="J92" s="15">
        <f>IFERROR(VLOOKUP(F92,'[1]Prod-CNAE-CF'!$A$5:$H$72,8,FALSE),'estimativa bc débitos'!$K$17)</f>
        <v>1.7361587282431611E-2</v>
      </c>
      <c r="K92" s="12">
        <f t="shared" si="5"/>
        <v>0.98263841271756835</v>
      </c>
      <c r="L92" s="18">
        <f t="shared" si="6"/>
        <v>1423228.1831851592</v>
      </c>
      <c r="M92" s="18">
        <f t="shared" si="7"/>
        <v>1359721.7039973268</v>
      </c>
      <c r="N92" s="18">
        <f>IFERROR(VLOOKUP(A92,'[2]estim bc créditos'!$H$4:$L$139,4,FALSE),0)</f>
        <v>63418.521999203615</v>
      </c>
      <c r="O92" s="18">
        <f>IFERROR(VLOOKUP(A92,'[2]estim bc créditos'!$H$4:$L$139,5,FALSE),0)</f>
        <v>58251.877830538018</v>
      </c>
    </row>
    <row r="93" spans="1:15" ht="45" x14ac:dyDescent="0.2">
      <c r="A93" s="11">
        <v>328</v>
      </c>
      <c r="B93" s="15" t="s">
        <v>117</v>
      </c>
      <c r="C93" s="11" t="s">
        <v>62</v>
      </c>
      <c r="D93" s="14">
        <f>VLOOKUP(A93,'Correção Ocup Não Determinadas'!A:G,6,FALSE)</f>
        <v>254805.08819869807</v>
      </c>
      <c r="E93" s="14">
        <f>VLOOKUP(A93,'Correção Ocup Não Determinadas'!A:G,7,FALSE)</f>
        <v>354580.62839177361</v>
      </c>
      <c r="F93" s="15" t="s">
        <v>181</v>
      </c>
      <c r="G93" s="15" t="s">
        <v>182</v>
      </c>
      <c r="H93" s="15" t="s">
        <v>249</v>
      </c>
      <c r="I93" s="15" t="s">
        <v>250</v>
      </c>
      <c r="J93" s="15">
        <f>IFERROR(VLOOKUP(F93,'[1]Prod-CNAE-CF'!$A$5:$H$72,8,FALSE),'estimativa bc débitos'!$K$17)</f>
        <v>0.87671711823096921</v>
      </c>
      <c r="K93" s="12">
        <f t="shared" si="5"/>
        <v>0.12328288176903079</v>
      </c>
      <c r="L93" s="18">
        <f t="shared" si="6"/>
        <v>31413.105562547556</v>
      </c>
      <c r="M93" s="18">
        <f t="shared" si="7"/>
        <v>43713.721687611673</v>
      </c>
      <c r="N93" s="18">
        <f>IFERROR(VLOOKUP(A93,'[2]estim bc créditos'!$H$4:$L$139,4,FALSE),0)</f>
        <v>7933.2569592119944</v>
      </c>
      <c r="O93" s="18">
        <f>IFERROR(VLOOKUP(A93,'[2]estim bc créditos'!$H$4:$L$139,5,FALSE),0)</f>
        <v>18696.396443903868</v>
      </c>
    </row>
    <row r="94" spans="1:15" x14ac:dyDescent="0.2">
      <c r="A94" s="11">
        <v>341</v>
      </c>
      <c r="B94" s="15" t="s">
        <v>118</v>
      </c>
      <c r="C94" s="11" t="s">
        <v>15</v>
      </c>
      <c r="D94" s="14">
        <f>VLOOKUP(A94,'Correção Ocup Não Determinadas'!A:G,6,FALSE)</f>
        <v>2380186.2191246427</v>
      </c>
      <c r="E94" s="14">
        <f>VLOOKUP(A94,'Correção Ocup Não Determinadas'!A:G,7,FALSE)</f>
        <v>2114979.2936974191</v>
      </c>
      <c r="F94" s="15"/>
      <c r="G94" s="15"/>
      <c r="H94" s="15"/>
      <c r="I94" s="15"/>
      <c r="J94" s="15">
        <f>IFERROR(VLOOKUP(F94,'[1]Prod-CNAE-CF'!$A$5:$H$72,8,FALSE),'estimativa bc débitos'!$K$17)</f>
        <v>0.5</v>
      </c>
      <c r="K94" s="12">
        <f t="shared" si="5"/>
        <v>0.5</v>
      </c>
      <c r="L94" s="18">
        <f t="shared" si="6"/>
        <v>1190093.1095623213</v>
      </c>
      <c r="M94" s="18">
        <f t="shared" si="7"/>
        <v>1057489.6468487096</v>
      </c>
      <c r="N94" s="18">
        <f>IFERROR(VLOOKUP(A94,'[2]estim bc créditos'!$H$4:$L$139,4,FALSE),0)</f>
        <v>199093.23369283398</v>
      </c>
      <c r="O94" s="18">
        <f>IFERROR(VLOOKUP(A94,'[2]estim bc créditos'!$H$4:$L$139,5,FALSE),0)</f>
        <v>201213.20761576926</v>
      </c>
    </row>
    <row r="95" spans="1:15" ht="45" x14ac:dyDescent="0.2">
      <c r="A95" s="11">
        <v>342</v>
      </c>
      <c r="B95" s="15" t="s">
        <v>119</v>
      </c>
      <c r="C95" s="11" t="s">
        <v>164</v>
      </c>
      <c r="D95" s="14">
        <f>VLOOKUP(A95,'Correção Ocup Não Determinadas'!A:G,6,FALSE)</f>
        <v>23914168.231996544</v>
      </c>
      <c r="E95" s="14">
        <f>VLOOKUP(A95,'Correção Ocup Não Determinadas'!A:G,7,FALSE)</f>
        <v>29211155.70286287</v>
      </c>
      <c r="F95" s="15" t="s">
        <v>187</v>
      </c>
      <c r="G95" s="15" t="s">
        <v>188</v>
      </c>
      <c r="H95" s="15" t="s">
        <v>200</v>
      </c>
      <c r="I95" s="15" t="s">
        <v>201</v>
      </c>
      <c r="J95" s="15">
        <f>IFERROR(VLOOKUP(F95,'[1]Prod-CNAE-CF'!$A$5:$H$72,8,FALSE),'estimativa bc débitos'!$K$17)</f>
        <v>1.7361587282431611E-2</v>
      </c>
      <c r="K95" s="12">
        <f t="shared" si="5"/>
        <v>0.98263841271756835</v>
      </c>
      <c r="L95" s="18">
        <f t="shared" si="6"/>
        <v>23498980.312949982</v>
      </c>
      <c r="M95" s="18">
        <f t="shared" si="7"/>
        <v>28704003.673506916</v>
      </c>
      <c r="N95" s="18">
        <f>IFERROR(VLOOKUP(A95,'[2]estim bc créditos'!$H$4:$L$139,4,FALSE),0)</f>
        <v>933507.09174904926</v>
      </c>
      <c r="O95" s="18">
        <f>IFERROR(VLOOKUP(A95,'[2]estim bc créditos'!$H$4:$L$139,5,FALSE),0)</f>
        <v>1072568.2518878141</v>
      </c>
    </row>
    <row r="96" spans="1:15" ht="45" x14ac:dyDescent="0.2">
      <c r="A96" s="11">
        <v>351</v>
      </c>
      <c r="B96" s="15" t="s">
        <v>120</v>
      </c>
      <c r="C96" s="11" t="s">
        <v>164</v>
      </c>
      <c r="D96" s="14">
        <f>VLOOKUP(A96,'Correção Ocup Não Determinadas'!A:G,6,FALSE)</f>
        <v>135283340.9162122</v>
      </c>
      <c r="E96" s="14">
        <f>VLOOKUP(A96,'Correção Ocup Não Determinadas'!A:G,7,FALSE)</f>
        <v>137686464.25617939</v>
      </c>
      <c r="F96" s="15" t="s">
        <v>179</v>
      </c>
      <c r="G96" s="15" t="s">
        <v>180</v>
      </c>
      <c r="H96" s="15" t="s">
        <v>205</v>
      </c>
      <c r="I96" s="15" t="s">
        <v>206</v>
      </c>
      <c r="J96" s="15">
        <f>IFERROR(VLOOKUP(F96,'[1]Prod-CNAE-CF'!$A$5:$H$72,8,FALSE),'estimativa bc débitos'!$K$17)</f>
        <v>7.7454639518125715E-2</v>
      </c>
      <c r="K96" s="12">
        <f t="shared" si="5"/>
        <v>0.9225453604818743</v>
      </c>
      <c r="L96" s="18">
        <f t="shared" si="6"/>
        <v>124805018.51273929</v>
      </c>
      <c r="M96" s="18">
        <f t="shared" si="7"/>
        <v>127022008.80069172</v>
      </c>
      <c r="N96" s="18">
        <f>IFERROR(VLOOKUP(A96,'[2]estim bc créditos'!$H$4:$L$139,4,FALSE),0)</f>
        <v>24317360.30496205</v>
      </c>
      <c r="O96" s="18">
        <f>IFERROR(VLOOKUP(A96,'[2]estim bc créditos'!$H$4:$L$139,5,FALSE),0)</f>
        <v>24045170.005884718</v>
      </c>
    </row>
    <row r="97" spans="1:15" ht="45" x14ac:dyDescent="0.2">
      <c r="A97" s="11">
        <v>352</v>
      </c>
      <c r="B97" s="15" t="s">
        <v>121</v>
      </c>
      <c r="C97" s="11" t="s">
        <v>164</v>
      </c>
      <c r="D97" s="14">
        <f>VLOOKUP(A97,'Correção Ocup Não Determinadas'!A:G,6,FALSE)</f>
        <v>7977852.9019897254</v>
      </c>
      <c r="E97" s="14">
        <f>VLOOKUP(A97,'Correção Ocup Não Determinadas'!A:G,7,FALSE)</f>
        <v>9367661.3293549381</v>
      </c>
      <c r="F97" s="15" t="s">
        <v>187</v>
      </c>
      <c r="G97" s="15" t="s">
        <v>188</v>
      </c>
      <c r="H97" s="15" t="s">
        <v>200</v>
      </c>
      <c r="I97" s="15" t="s">
        <v>201</v>
      </c>
      <c r="J97" s="15">
        <f>IFERROR(VLOOKUP(F97,'[1]Prod-CNAE-CF'!$A$5:$H$72,8,FALSE),'estimativa bc débitos'!$K$17)</f>
        <v>1.7361587282431611E-2</v>
      </c>
      <c r="K97" s="12">
        <f t="shared" si="5"/>
        <v>0.98263841271756835</v>
      </c>
      <c r="L97" s="18">
        <f t="shared" si="6"/>
        <v>7839344.71250543</v>
      </c>
      <c r="M97" s="18">
        <f t="shared" si="7"/>
        <v>9205023.8595530819</v>
      </c>
      <c r="N97" s="18">
        <f>IFERROR(VLOOKUP(A97,'[2]estim bc créditos'!$H$4:$L$139,4,FALSE),0)</f>
        <v>330477.32787123189</v>
      </c>
      <c r="O97" s="18">
        <f>IFERROR(VLOOKUP(A97,'[2]estim bc créditos'!$H$4:$L$139,5,FALSE),0)</f>
        <v>243059.62313393853</v>
      </c>
    </row>
    <row r="98" spans="1:15" x14ac:dyDescent="0.2">
      <c r="A98" s="11">
        <v>353</v>
      </c>
      <c r="B98" s="15" t="s">
        <v>122</v>
      </c>
      <c r="C98" s="11" t="s">
        <v>15</v>
      </c>
      <c r="D98" s="14">
        <f>VLOOKUP(A98,'Correção Ocup Não Determinadas'!A:G,6,FALSE)</f>
        <v>10205574.938912839</v>
      </c>
      <c r="E98" s="14">
        <f>VLOOKUP(A98,'Correção Ocup Não Determinadas'!A:G,7,FALSE)</f>
        <v>10057287.524931172</v>
      </c>
      <c r="F98" s="15"/>
      <c r="G98" s="15"/>
      <c r="H98" s="15"/>
      <c r="I98" s="15"/>
      <c r="J98" s="15">
        <f>IFERROR(VLOOKUP(F98,'[1]Prod-CNAE-CF'!$A$5:$H$72,8,FALSE),'estimativa bc débitos'!$K$17)</f>
        <v>0.5</v>
      </c>
      <c r="K98" s="12">
        <f t="shared" si="5"/>
        <v>0.5</v>
      </c>
      <c r="L98" s="18">
        <f t="shared" si="6"/>
        <v>5102787.4694564193</v>
      </c>
      <c r="M98" s="18">
        <f t="shared" si="7"/>
        <v>5028643.762465586</v>
      </c>
      <c r="N98" s="18">
        <f>IFERROR(VLOOKUP(A98,'[2]estim bc créditos'!$H$4:$L$139,4,FALSE),0)</f>
        <v>1194091.9168286042</v>
      </c>
      <c r="O98" s="18">
        <f>IFERROR(VLOOKUP(A98,'[2]estim bc créditos'!$H$4:$L$139,5,FALSE),0)</f>
        <v>1160754.4370332442</v>
      </c>
    </row>
    <row r="99" spans="1:15" x14ac:dyDescent="0.2">
      <c r="A99" s="11">
        <v>354</v>
      </c>
      <c r="B99" s="15" t="s">
        <v>123</v>
      </c>
      <c r="C99" s="11" t="s">
        <v>15</v>
      </c>
      <c r="D99" s="14">
        <f>VLOOKUP(A99,'Correção Ocup Não Determinadas'!A:G,6,FALSE)</f>
        <v>1183085463.5761056</v>
      </c>
      <c r="E99" s="14">
        <f>VLOOKUP(A99,'Correção Ocup Não Determinadas'!A:G,7,FALSE)</f>
        <v>1357161410.7849555</v>
      </c>
      <c r="F99" s="15"/>
      <c r="G99" s="15"/>
      <c r="H99" s="15"/>
      <c r="I99" s="15"/>
      <c r="J99" s="15">
        <f>IFERROR(VLOOKUP(F99,'[1]Prod-CNAE-CF'!$A$5:$H$72,8,FALSE),'estimativa bc débitos'!$K$17)</f>
        <v>0.5</v>
      </c>
      <c r="K99" s="12">
        <f t="shared" si="5"/>
        <v>0.5</v>
      </c>
      <c r="L99" s="18">
        <f t="shared" si="6"/>
        <v>591542731.7880528</v>
      </c>
      <c r="M99" s="18">
        <f t="shared" si="7"/>
        <v>678580705.39247775</v>
      </c>
      <c r="N99" s="18">
        <f>IFERROR(VLOOKUP(A99,'[2]estim bc créditos'!$H$4:$L$139,4,FALSE),0)</f>
        <v>248237317.6638169</v>
      </c>
      <c r="O99" s="18">
        <f>IFERROR(VLOOKUP(A99,'[2]estim bc créditos'!$H$4:$L$139,5,FALSE),0)</f>
        <v>282192470.02741939</v>
      </c>
    </row>
    <row r="100" spans="1:15" x14ac:dyDescent="0.2">
      <c r="A100" s="11">
        <v>355</v>
      </c>
      <c r="B100" s="15" t="s">
        <v>124</v>
      </c>
      <c r="C100" s="11" t="s">
        <v>15</v>
      </c>
      <c r="D100" s="14">
        <f>VLOOKUP(A100,'Correção Ocup Não Determinadas'!A:G,6,FALSE)</f>
        <v>75980073.379783586</v>
      </c>
      <c r="E100" s="14">
        <f>VLOOKUP(A100,'Correção Ocup Não Determinadas'!A:G,7,FALSE)</f>
        <v>93139271.689650133</v>
      </c>
      <c r="F100" s="15"/>
      <c r="G100" s="15"/>
      <c r="H100" s="15"/>
      <c r="I100" s="15"/>
      <c r="J100" s="15">
        <f>IFERROR(VLOOKUP(F100,'[1]Prod-CNAE-CF'!$A$5:$H$72,8,FALSE),'estimativa bc débitos'!$K$17)</f>
        <v>0.5</v>
      </c>
      <c r="K100" s="12">
        <f t="shared" si="5"/>
        <v>0.5</v>
      </c>
      <c r="L100" s="18">
        <f t="shared" ref="L100:L131" si="8">D100*$K100</f>
        <v>37990036.689891793</v>
      </c>
      <c r="M100" s="18">
        <f t="shared" ref="M100:M131" si="9">E100*$K100</f>
        <v>46569635.844825067</v>
      </c>
      <c r="N100" s="18">
        <f>IFERROR(VLOOKUP(A100,'[2]estim bc créditos'!$H$4:$L$139,4,FALSE),0)</f>
        <v>3171895.5686947773</v>
      </c>
      <c r="O100" s="18">
        <f>IFERROR(VLOOKUP(A100,'[2]estim bc créditos'!$H$4:$L$139,5,FALSE),0)</f>
        <v>3082202.1989768716</v>
      </c>
    </row>
    <row r="101" spans="1:15" ht="30" x14ac:dyDescent="0.2">
      <c r="A101" s="11">
        <v>371</v>
      </c>
      <c r="B101" s="15" t="s">
        <v>125</v>
      </c>
      <c r="C101" s="11" t="s">
        <v>82</v>
      </c>
      <c r="D101" s="14">
        <f>VLOOKUP(A101,'Correção Ocup Não Determinadas'!A:G,6,FALSE)</f>
        <v>4366580.1414891751</v>
      </c>
      <c r="E101" s="14">
        <f>VLOOKUP(A101,'Correção Ocup Não Determinadas'!A:G,7,FALSE)</f>
        <v>3552798.0208568773</v>
      </c>
      <c r="F101" s="15" t="s">
        <v>183</v>
      </c>
      <c r="G101" s="15" t="s">
        <v>184</v>
      </c>
      <c r="H101" s="15" t="s">
        <v>239</v>
      </c>
      <c r="I101" s="15" t="s">
        <v>240</v>
      </c>
      <c r="J101" s="15">
        <f>IFERROR(VLOOKUP(F101,'[1]Prod-CNAE-CF'!$A$5:$H$72,8,FALSE),'estimativa bc débitos'!$K$17)</f>
        <v>0.89281124940338508</v>
      </c>
      <c r="K101" s="12">
        <f t="shared" si="5"/>
        <v>0.10718875059661492</v>
      </c>
      <c r="L101" s="18">
        <f t="shared" si="8"/>
        <v>468048.26974621468</v>
      </c>
      <c r="M101" s="18">
        <f t="shared" si="9"/>
        <v>380819.98097777495</v>
      </c>
      <c r="N101" s="18">
        <f>IFERROR(VLOOKUP(A101,'[2]estim bc créditos'!$H$4:$L$139,4,FALSE),0)</f>
        <v>118498.10691238484</v>
      </c>
      <c r="O101" s="18">
        <f>IFERROR(VLOOKUP(A101,'[2]estim bc créditos'!$H$4:$L$139,5,FALSE),0)</f>
        <v>10285.678545145527</v>
      </c>
    </row>
    <row r="102" spans="1:15" ht="45" x14ac:dyDescent="0.2">
      <c r="A102" s="11">
        <v>372</v>
      </c>
      <c r="B102" s="15" t="s">
        <v>126</v>
      </c>
      <c r="C102" s="11" t="s">
        <v>82</v>
      </c>
      <c r="D102" s="14">
        <f>VLOOKUP(A102,'Correção Ocup Não Determinadas'!A:G,6,FALSE)</f>
        <v>28940948.805955648</v>
      </c>
      <c r="E102" s="14">
        <f>VLOOKUP(A102,'Correção Ocup Não Determinadas'!A:G,7,FALSE)</f>
        <v>34110449.589693122</v>
      </c>
      <c r="F102" s="15" t="s">
        <v>192</v>
      </c>
      <c r="G102" s="15" t="s">
        <v>193</v>
      </c>
      <c r="H102" s="15" t="s">
        <v>234</v>
      </c>
      <c r="I102" s="15" t="s">
        <v>235</v>
      </c>
      <c r="J102" s="15">
        <f>IFERROR(VLOOKUP(F102,'[1]Prod-CNAE-CF'!$A$5:$H$72,8,FALSE),'estimativa bc débitos'!$K$17)</f>
        <v>2.6901987662782727E-2</v>
      </c>
      <c r="K102" s="12">
        <f t="shared" si="5"/>
        <v>0.97309801233721727</v>
      </c>
      <c r="L102" s="18">
        <f t="shared" si="8"/>
        <v>28162379.758228604</v>
      </c>
      <c r="M102" s="18">
        <f t="shared" si="9"/>
        <v>33192810.695659224</v>
      </c>
      <c r="N102" s="18">
        <f>IFERROR(VLOOKUP(A102,'[2]estim bc créditos'!$H$4:$L$139,4,FALSE),0)</f>
        <v>639252.44437663723</v>
      </c>
      <c r="O102" s="18">
        <f>IFERROR(VLOOKUP(A102,'[2]estim bc créditos'!$H$4:$L$139,5,FALSE),0)</f>
        <v>853973.33312389068</v>
      </c>
    </row>
    <row r="103" spans="1:15" ht="45" x14ac:dyDescent="0.2">
      <c r="A103" s="11">
        <v>373</v>
      </c>
      <c r="B103" s="15" t="s">
        <v>127</v>
      </c>
      <c r="C103" s="11" t="s">
        <v>82</v>
      </c>
      <c r="D103" s="14">
        <f>VLOOKUP(A103,'Correção Ocup Não Determinadas'!A:G,6,FALSE)</f>
        <v>1584315.9963965192</v>
      </c>
      <c r="E103" s="14">
        <f>VLOOKUP(A103,'Correção Ocup Não Determinadas'!A:G,7,FALSE)</f>
        <v>2118541.1197372396</v>
      </c>
      <c r="F103" s="15" t="s">
        <v>192</v>
      </c>
      <c r="G103" s="15" t="s">
        <v>193</v>
      </c>
      <c r="H103" s="15" t="s">
        <v>234</v>
      </c>
      <c r="I103" s="15" t="s">
        <v>235</v>
      </c>
      <c r="J103" s="15">
        <f>IFERROR(VLOOKUP(F103,'[1]Prod-CNAE-CF'!$A$5:$H$72,8,FALSE),'estimativa bc débitos'!$K$17)</f>
        <v>2.6901987662782727E-2</v>
      </c>
      <c r="K103" s="12">
        <f t="shared" si="5"/>
        <v>0.97309801233721727</v>
      </c>
      <c r="L103" s="18">
        <f t="shared" si="8"/>
        <v>1541694.7470075109</v>
      </c>
      <c r="M103" s="18">
        <f t="shared" si="9"/>
        <v>2061548.1526709704</v>
      </c>
      <c r="N103" s="18">
        <f>IFERROR(VLOOKUP(A103,'[2]estim bc créditos'!$H$4:$L$139,4,FALSE),0)</f>
        <v>10145.701393474112</v>
      </c>
      <c r="O103" s="18">
        <f>IFERROR(VLOOKUP(A103,'[2]estim bc créditos'!$H$4:$L$139,5,FALSE),0)</f>
        <v>9856.4044605217387</v>
      </c>
    </row>
    <row r="104" spans="1:15" ht="45" x14ac:dyDescent="0.2">
      <c r="A104" s="11">
        <v>374</v>
      </c>
      <c r="B104" s="15" t="s">
        <v>128</v>
      </c>
      <c r="C104" s="11" t="s">
        <v>82</v>
      </c>
      <c r="D104" s="14">
        <f>VLOOKUP(A104,'Correção Ocup Não Determinadas'!A:G,6,FALSE)</f>
        <v>7765924.3567531696</v>
      </c>
      <c r="E104" s="14">
        <f>VLOOKUP(A104,'Correção Ocup Não Determinadas'!A:G,7,FALSE)</f>
        <v>6840831.6853150418</v>
      </c>
      <c r="F104" s="15" t="s">
        <v>192</v>
      </c>
      <c r="G104" s="15" t="s">
        <v>193</v>
      </c>
      <c r="H104" s="15" t="s">
        <v>234</v>
      </c>
      <c r="I104" s="15" t="s">
        <v>235</v>
      </c>
      <c r="J104" s="15">
        <f>IFERROR(VLOOKUP(F104,'[1]Prod-CNAE-CF'!$A$5:$H$72,8,FALSE),'estimativa bc débitos'!$K$17)</f>
        <v>2.6901987662782727E-2</v>
      </c>
      <c r="K104" s="12">
        <f t="shared" si="5"/>
        <v>0.97309801233721727</v>
      </c>
      <c r="L104" s="18">
        <f t="shared" si="8"/>
        <v>7557005.5555176921</v>
      </c>
      <c r="M104" s="18">
        <f t="shared" si="9"/>
        <v>6656799.7157135233</v>
      </c>
      <c r="N104" s="18">
        <f>IFERROR(VLOOKUP(A104,'[2]estim bc créditos'!$H$4:$L$139,4,FALSE),0)</f>
        <v>229703.82626219667</v>
      </c>
      <c r="O104" s="18">
        <f>IFERROR(VLOOKUP(A104,'[2]estim bc créditos'!$H$4:$L$139,5,FALSE),0)</f>
        <v>244802.80414585982</v>
      </c>
    </row>
    <row r="105" spans="1:15" x14ac:dyDescent="0.2">
      <c r="A105" s="11">
        <v>375</v>
      </c>
      <c r="B105" s="15" t="s">
        <v>129</v>
      </c>
      <c r="C105" s="11" t="s">
        <v>15</v>
      </c>
      <c r="D105" s="14">
        <f>VLOOKUP(A105,'Correção Ocup Não Determinadas'!A:G,6,FALSE)</f>
        <v>7712504.530193707</v>
      </c>
      <c r="E105" s="14">
        <f>VLOOKUP(A105,'Correção Ocup Não Determinadas'!A:G,7,FALSE)</f>
        <v>6626395.0133413803</v>
      </c>
      <c r="F105" s="15"/>
      <c r="G105" s="15"/>
      <c r="H105" s="15"/>
      <c r="I105" s="15"/>
      <c r="J105" s="15">
        <f>IFERROR(VLOOKUP(F105,'[1]Prod-CNAE-CF'!$A$5:$H$72,8,FALSE),'estimativa bc débitos'!$K$17)</f>
        <v>0.5</v>
      </c>
      <c r="K105" s="12">
        <f t="shared" si="5"/>
        <v>0.5</v>
      </c>
      <c r="L105" s="18">
        <f t="shared" si="8"/>
        <v>3856252.2650968535</v>
      </c>
      <c r="M105" s="18">
        <f t="shared" si="9"/>
        <v>3313197.5066706901</v>
      </c>
      <c r="N105" s="18">
        <f>IFERROR(VLOOKUP(A105,'[2]estim bc créditos'!$H$4:$L$139,4,FALSE),0)</f>
        <v>551924.65687309694</v>
      </c>
      <c r="O105" s="18">
        <f>IFERROR(VLOOKUP(A105,'[2]estim bc créditos'!$H$4:$L$139,5,FALSE),0)</f>
        <v>326028.23275672464</v>
      </c>
    </row>
    <row r="106" spans="1:15" ht="45" x14ac:dyDescent="0.2">
      <c r="A106" s="11">
        <v>376</v>
      </c>
      <c r="B106" s="15" t="s">
        <v>130</v>
      </c>
      <c r="C106" s="11" t="s">
        <v>82</v>
      </c>
      <c r="D106" s="14">
        <f>VLOOKUP(A106,'Correção Ocup Não Determinadas'!A:G,6,FALSE)</f>
        <v>14529176.12317081</v>
      </c>
      <c r="E106" s="14">
        <f>VLOOKUP(A106,'Correção Ocup Não Determinadas'!A:G,7,FALSE)</f>
        <v>9641334.465207139</v>
      </c>
      <c r="F106" s="15" t="s">
        <v>192</v>
      </c>
      <c r="G106" s="15" t="s">
        <v>193</v>
      </c>
      <c r="H106" s="15" t="s">
        <v>234</v>
      </c>
      <c r="I106" s="15" t="s">
        <v>235</v>
      </c>
      <c r="J106" s="15">
        <f>IFERROR(VLOOKUP(F106,'[1]Prod-CNAE-CF'!$A$5:$H$72,8,FALSE),'estimativa bc débitos'!$K$17)</f>
        <v>2.6901987662782727E-2</v>
      </c>
      <c r="K106" s="12">
        <f t="shared" si="5"/>
        <v>0.97309801233721727</v>
      </c>
      <c r="L106" s="18">
        <f t="shared" si="8"/>
        <v>14138312.406354871</v>
      </c>
      <c r="M106" s="18">
        <f t="shared" si="9"/>
        <v>9381963.4043713752</v>
      </c>
      <c r="N106" s="18">
        <f>IFERROR(VLOOKUP(A106,'[2]estim bc créditos'!$H$4:$L$139,4,FALSE),0)</f>
        <v>45216.990386745696</v>
      </c>
      <c r="O106" s="18">
        <f>IFERROR(VLOOKUP(A106,'[2]estim bc créditos'!$H$4:$L$139,5,FALSE),0)</f>
        <v>220198.02214201307</v>
      </c>
    </row>
    <row r="107" spans="1:15" x14ac:dyDescent="0.2">
      <c r="A107" s="11">
        <v>377</v>
      </c>
      <c r="B107" s="15" t="s">
        <v>131</v>
      </c>
      <c r="C107" s="11" t="s">
        <v>15</v>
      </c>
      <c r="D107" s="14">
        <f>VLOOKUP(A107,'Correção Ocup Não Determinadas'!A:G,6,FALSE)</f>
        <v>19234640.215274666</v>
      </c>
      <c r="E107" s="14">
        <f>VLOOKUP(A107,'Correção Ocup Não Determinadas'!A:G,7,FALSE)</f>
        <v>22648824.874959566</v>
      </c>
      <c r="F107" s="15"/>
      <c r="G107" s="15"/>
      <c r="H107" s="15"/>
      <c r="I107" s="15"/>
      <c r="J107" s="15">
        <f>IFERROR(VLOOKUP(F107,'[1]Prod-CNAE-CF'!$A$5:$H$72,8,FALSE),'estimativa bc débitos'!$K$17)</f>
        <v>0.5</v>
      </c>
      <c r="K107" s="12">
        <f t="shared" si="5"/>
        <v>0.5</v>
      </c>
      <c r="L107" s="18">
        <f t="shared" si="8"/>
        <v>9617320.1076373328</v>
      </c>
      <c r="M107" s="18">
        <f t="shared" si="9"/>
        <v>11324412.437479783</v>
      </c>
      <c r="N107" s="18">
        <f>IFERROR(VLOOKUP(A107,'[2]estim bc créditos'!$H$4:$L$139,4,FALSE),0)</f>
        <v>1182188.6047240295</v>
      </c>
      <c r="O107" s="18">
        <f>IFERROR(VLOOKUP(A107,'[2]estim bc créditos'!$H$4:$L$139,5,FALSE),0)</f>
        <v>1384194.6996835163</v>
      </c>
    </row>
    <row r="108" spans="1:15" ht="45" x14ac:dyDescent="0.2">
      <c r="A108" s="11">
        <v>391</v>
      </c>
      <c r="B108" s="15" t="s">
        <v>132</v>
      </c>
      <c r="C108" s="11" t="s">
        <v>164</v>
      </c>
      <c r="D108" s="14">
        <f>VLOOKUP(A108,'Correção Ocup Não Determinadas'!A:G,6,FALSE)</f>
        <v>323543590.69454026</v>
      </c>
      <c r="E108" s="14">
        <f>VLOOKUP(A108,'Correção Ocup Não Determinadas'!A:G,7,FALSE)</f>
        <v>340347522.11081159</v>
      </c>
      <c r="F108" s="15" t="s">
        <v>187</v>
      </c>
      <c r="G108" s="15" t="s">
        <v>188</v>
      </c>
      <c r="H108" s="15" t="s">
        <v>200</v>
      </c>
      <c r="I108" s="15" t="s">
        <v>201</v>
      </c>
      <c r="J108" s="15">
        <f>IFERROR(VLOOKUP(F108,'[1]Prod-CNAE-CF'!$A$5:$H$72,8,FALSE),'estimativa bc débitos'!$K$17)</f>
        <v>1.7361587282431611E-2</v>
      </c>
      <c r="K108" s="12">
        <f t="shared" si="5"/>
        <v>0.98263841271756835</v>
      </c>
      <c r="L108" s="18">
        <f t="shared" si="8"/>
        <v>317926360.40502566</v>
      </c>
      <c r="M108" s="18">
        <f t="shared" si="9"/>
        <v>334438548.89932543</v>
      </c>
      <c r="N108" s="18">
        <f>IFERROR(VLOOKUP(A108,'[2]estim bc créditos'!$H$4:$L$139,4,FALSE),0)</f>
        <v>15531053.522005359</v>
      </c>
      <c r="O108" s="18">
        <f>IFERROR(VLOOKUP(A108,'[2]estim bc créditos'!$H$4:$L$139,5,FALSE),0)</f>
        <v>15834602.69234048</v>
      </c>
    </row>
    <row r="109" spans="1:15" ht="30" x14ac:dyDescent="0.2">
      <c r="A109" s="11">
        <v>410</v>
      </c>
      <c r="B109" s="15" t="s">
        <v>133</v>
      </c>
      <c r="C109" s="11" t="s">
        <v>15</v>
      </c>
      <c r="D109" s="14">
        <f>VLOOKUP(A109,'Correção Ocup Não Determinadas'!A:G,6,FALSE)</f>
        <v>520510261.35553181</v>
      </c>
      <c r="E109" s="14">
        <f>VLOOKUP(A109,'Correção Ocup Não Determinadas'!A:G,7,FALSE)</f>
        <v>583120417.92811644</v>
      </c>
      <c r="F109" s="15"/>
      <c r="G109" s="15"/>
      <c r="H109" s="15"/>
      <c r="I109" s="15"/>
      <c r="J109" s="15">
        <f>IFERROR(VLOOKUP(F109,'[1]Prod-CNAE-CF'!$A$5:$H$72,8,FALSE),'estimativa bc débitos'!$K$17)</f>
        <v>0.5</v>
      </c>
      <c r="K109" s="12">
        <f t="shared" si="5"/>
        <v>0.5</v>
      </c>
      <c r="L109" s="18">
        <f t="shared" si="8"/>
        <v>260255130.67776591</v>
      </c>
      <c r="M109" s="18">
        <f t="shared" si="9"/>
        <v>291560208.96405822</v>
      </c>
      <c r="N109" s="18">
        <f>IFERROR(VLOOKUP(A109,'[2]estim bc créditos'!$H$4:$L$139,4,FALSE),0)</f>
        <v>26450522.320185535</v>
      </c>
      <c r="O109" s="18">
        <f>IFERROR(VLOOKUP(A109,'[2]estim bc créditos'!$H$4:$L$139,5,FALSE),0)</f>
        <v>29760987.158863816</v>
      </c>
    </row>
    <row r="110" spans="1:15" x14ac:dyDescent="0.2">
      <c r="A110" s="11">
        <v>420</v>
      </c>
      <c r="B110" s="15" t="s">
        <v>134</v>
      </c>
      <c r="C110" s="11" t="s">
        <v>15</v>
      </c>
      <c r="D110" s="14">
        <f>VLOOKUP(A110,'Correção Ocup Não Determinadas'!A:G,6,FALSE)</f>
        <v>219756409.38416517</v>
      </c>
      <c r="E110" s="14">
        <f>VLOOKUP(A110,'Correção Ocup Não Determinadas'!A:G,7,FALSE)</f>
        <v>227260143.05523264</v>
      </c>
      <c r="F110" s="15"/>
      <c r="G110" s="15"/>
      <c r="H110" s="15"/>
      <c r="I110" s="15"/>
      <c r="J110" s="15">
        <f>IFERROR(VLOOKUP(F110,'[1]Prod-CNAE-CF'!$A$5:$H$72,8,FALSE),'estimativa bc débitos'!$K$17)</f>
        <v>0.5</v>
      </c>
      <c r="K110" s="12">
        <f t="shared" si="5"/>
        <v>0.5</v>
      </c>
      <c r="L110" s="18">
        <f t="shared" si="8"/>
        <v>109878204.69208258</v>
      </c>
      <c r="M110" s="18">
        <f t="shared" si="9"/>
        <v>113630071.52761632</v>
      </c>
      <c r="N110" s="18">
        <f>IFERROR(VLOOKUP(A110,'[2]estim bc créditos'!$H$4:$L$139,4,FALSE),0)</f>
        <v>17413865.396302488</v>
      </c>
      <c r="O110" s="18">
        <f>IFERROR(VLOOKUP(A110,'[2]estim bc créditos'!$H$4:$L$139,5,FALSE),0)</f>
        <v>15999211.336498015</v>
      </c>
    </row>
    <row r="111" spans="1:15" x14ac:dyDescent="0.2">
      <c r="A111" s="11">
        <v>511</v>
      </c>
      <c r="B111" s="15" t="s">
        <v>135</v>
      </c>
      <c r="C111" s="11" t="s">
        <v>15</v>
      </c>
      <c r="D111" s="14">
        <f>VLOOKUP(A111,'Correção Ocup Não Determinadas'!A:G,6,FALSE)</f>
        <v>31831069.669449031</v>
      </c>
      <c r="E111" s="14">
        <f>VLOOKUP(A111,'Correção Ocup Não Determinadas'!A:G,7,FALSE)</f>
        <v>34529744.599519655</v>
      </c>
      <c r="F111" s="15"/>
      <c r="G111" s="15"/>
      <c r="H111" s="15"/>
      <c r="I111" s="15"/>
      <c r="J111" s="15">
        <f>IFERROR(VLOOKUP(F111,'[1]Prod-CNAE-CF'!$A$5:$H$72,8,FALSE),'estimativa bc débitos'!$K$17)</f>
        <v>0.5</v>
      </c>
      <c r="K111" s="12">
        <f t="shared" si="5"/>
        <v>0.5</v>
      </c>
      <c r="L111" s="18">
        <f t="shared" si="8"/>
        <v>15915534.834724516</v>
      </c>
      <c r="M111" s="18">
        <f t="shared" si="9"/>
        <v>17264872.299759828</v>
      </c>
      <c r="N111" s="18">
        <f>IFERROR(VLOOKUP(A111,'[2]estim bc créditos'!$H$4:$L$139,4,FALSE),0)</f>
        <v>915072.00730500766</v>
      </c>
      <c r="O111" s="18">
        <f>IFERROR(VLOOKUP(A111,'[2]estim bc créditos'!$H$4:$L$139,5,FALSE),0)</f>
        <v>1194176.3130564129</v>
      </c>
    </row>
    <row r="112" spans="1:15" x14ac:dyDescent="0.2">
      <c r="A112" s="11">
        <v>512</v>
      </c>
      <c r="B112" s="15" t="s">
        <v>136</v>
      </c>
      <c r="C112" s="11" t="s">
        <v>15</v>
      </c>
      <c r="D112" s="14">
        <f>VLOOKUP(A112,'Correção Ocup Não Determinadas'!A:G,6,FALSE)</f>
        <v>119008821.96452519</v>
      </c>
      <c r="E112" s="14">
        <f>VLOOKUP(A112,'Correção Ocup Não Determinadas'!A:G,7,FALSE)</f>
        <v>129073574.31893483</v>
      </c>
      <c r="F112" s="15"/>
      <c r="G112" s="15"/>
      <c r="H112" s="15"/>
      <c r="I112" s="15"/>
      <c r="J112" s="15">
        <f>IFERROR(VLOOKUP(F112,'[1]Prod-CNAE-CF'!$A$5:$H$72,8,FALSE),'estimativa bc débitos'!$K$17)</f>
        <v>0.5</v>
      </c>
      <c r="K112" s="12">
        <f t="shared" si="5"/>
        <v>0.5</v>
      </c>
      <c r="L112" s="18">
        <f t="shared" si="8"/>
        <v>59504410.982262596</v>
      </c>
      <c r="M112" s="18">
        <f t="shared" si="9"/>
        <v>64536787.159467414</v>
      </c>
      <c r="N112" s="18">
        <f>IFERROR(VLOOKUP(A112,'[2]estim bc créditos'!$H$4:$L$139,4,FALSE),0)</f>
        <v>364069.63170770928</v>
      </c>
      <c r="O112" s="18">
        <f>IFERROR(VLOOKUP(A112,'[2]estim bc créditos'!$H$4:$L$139,5,FALSE),0)</f>
        <v>138229.33117744906</v>
      </c>
    </row>
    <row r="113" spans="1:15" x14ac:dyDescent="0.2">
      <c r="A113" s="11">
        <v>513</v>
      </c>
      <c r="B113" s="15" t="s">
        <v>137</v>
      </c>
      <c r="C113" s="11" t="s">
        <v>15</v>
      </c>
      <c r="D113" s="14">
        <f>VLOOKUP(A113,'Correção Ocup Não Determinadas'!A:G,6,FALSE)</f>
        <v>104378474.75037646</v>
      </c>
      <c r="E113" s="14">
        <f>VLOOKUP(A113,'Correção Ocup Não Determinadas'!A:G,7,FALSE)</f>
        <v>110515855.8558543</v>
      </c>
      <c r="F113" s="15"/>
      <c r="G113" s="15"/>
      <c r="H113" s="15"/>
      <c r="I113" s="15"/>
      <c r="J113" s="15">
        <f>IFERROR(VLOOKUP(F113,'[1]Prod-CNAE-CF'!$A$5:$H$72,8,FALSE),'estimativa bc débitos'!$K$17)</f>
        <v>0.5</v>
      </c>
      <c r="K113" s="12">
        <f t="shared" si="5"/>
        <v>0.5</v>
      </c>
      <c r="L113" s="18">
        <f t="shared" si="8"/>
        <v>52189237.375188231</v>
      </c>
      <c r="M113" s="18">
        <f t="shared" si="9"/>
        <v>55257927.927927151</v>
      </c>
      <c r="N113" s="18">
        <f>IFERROR(VLOOKUP(A113,'[2]estim bc créditos'!$H$4:$L$139,4,FALSE),0)</f>
        <v>1752255.4969829442</v>
      </c>
      <c r="O113" s="18">
        <f>IFERROR(VLOOKUP(A113,'[2]estim bc créditos'!$H$4:$L$139,5,FALSE),0)</f>
        <v>1776039.8708963185</v>
      </c>
    </row>
    <row r="114" spans="1:15" ht="30" x14ac:dyDescent="0.2">
      <c r="A114" s="11">
        <v>514</v>
      </c>
      <c r="B114" s="15" t="s">
        <v>138</v>
      </c>
      <c r="C114" s="11" t="s">
        <v>15</v>
      </c>
      <c r="D114" s="14">
        <f>VLOOKUP(A114,'Correção Ocup Não Determinadas'!A:G,6,FALSE)</f>
        <v>58822590.431837276</v>
      </c>
      <c r="E114" s="14">
        <f>VLOOKUP(A114,'Correção Ocup Não Determinadas'!A:G,7,FALSE)</f>
        <v>68474356.078950509</v>
      </c>
      <c r="F114" s="15"/>
      <c r="G114" s="15"/>
      <c r="H114" s="15"/>
      <c r="I114" s="15"/>
      <c r="J114" s="15">
        <f>IFERROR(VLOOKUP(F114,'[1]Prod-CNAE-CF'!$A$5:$H$72,8,FALSE),'estimativa bc débitos'!$K$17)</f>
        <v>0.5</v>
      </c>
      <c r="K114" s="12">
        <f t="shared" si="5"/>
        <v>0.5</v>
      </c>
      <c r="L114" s="18">
        <f t="shared" si="8"/>
        <v>29411295.215918638</v>
      </c>
      <c r="M114" s="18">
        <f t="shared" si="9"/>
        <v>34237178.039475255</v>
      </c>
      <c r="N114" s="18">
        <f>IFERROR(VLOOKUP(A114,'[2]estim bc créditos'!$H$4:$L$139,4,FALSE),0)</f>
        <v>1354144.3659811132</v>
      </c>
      <c r="O114" s="18">
        <f>IFERROR(VLOOKUP(A114,'[2]estim bc créditos'!$H$4:$L$139,5,FALSE),0)</f>
        <v>1159796.8117239084</v>
      </c>
    </row>
    <row r="115" spans="1:15" ht="30" x14ac:dyDescent="0.2">
      <c r="A115" s="11">
        <v>515</v>
      </c>
      <c r="B115" s="15" t="s">
        <v>139</v>
      </c>
      <c r="C115" s="11" t="s">
        <v>62</v>
      </c>
      <c r="D115" s="14">
        <f>VLOOKUP(A115,'Correção Ocup Não Determinadas'!A:G,6,FALSE)</f>
        <v>197863326.15183637</v>
      </c>
      <c r="E115" s="14">
        <f>VLOOKUP(A115,'Correção Ocup Não Determinadas'!A:G,7,FALSE)</f>
        <v>212453586.54676926</v>
      </c>
      <c r="F115" s="15" t="s">
        <v>181</v>
      </c>
      <c r="G115" s="15" t="s">
        <v>182</v>
      </c>
      <c r="H115" s="15" t="s">
        <v>247</v>
      </c>
      <c r="I115" s="15" t="s">
        <v>248</v>
      </c>
      <c r="J115" s="15">
        <f>IFERROR(VLOOKUP(F115,'[1]Prod-CNAE-CF'!$A$5:$H$72,8,FALSE),'estimativa bc débitos'!$K$17)</f>
        <v>0.87671711823096921</v>
      </c>
      <c r="K115" s="12">
        <f t="shared" si="5"/>
        <v>0.12328288176903079</v>
      </c>
      <c r="L115" s="18">
        <f t="shared" si="8"/>
        <v>24393161.044404022</v>
      </c>
      <c r="M115" s="18">
        <f t="shared" si="9"/>
        <v>26191890.391651906</v>
      </c>
      <c r="N115" s="18">
        <f>IFERROR(VLOOKUP(A115,'[2]estim bc créditos'!$H$4:$L$139,4,FALSE),0)</f>
        <v>9560476.8715054505</v>
      </c>
      <c r="O115" s="18">
        <f>IFERROR(VLOOKUP(A115,'[2]estim bc créditos'!$H$4:$L$139,5,FALSE),0)</f>
        <v>9027388.8010962065</v>
      </c>
    </row>
    <row r="116" spans="1:15" x14ac:dyDescent="0.2">
      <c r="A116" s="11">
        <v>516</v>
      </c>
      <c r="B116" s="15" t="s">
        <v>140</v>
      </c>
      <c r="C116" s="11" t="s">
        <v>15</v>
      </c>
      <c r="D116" s="14">
        <f>VLOOKUP(A116,'Correção Ocup Não Determinadas'!A:G,6,FALSE)</f>
        <v>586189434.82726383</v>
      </c>
      <c r="E116" s="14">
        <f>VLOOKUP(A116,'Correção Ocup Não Determinadas'!A:G,7,FALSE)</f>
        <v>588881839.6461848</v>
      </c>
      <c r="F116" s="15"/>
      <c r="G116" s="15"/>
      <c r="H116" s="15"/>
      <c r="I116" s="15"/>
      <c r="J116" s="15">
        <f>IFERROR(VLOOKUP(F116,'[1]Prod-CNAE-CF'!$A$5:$H$72,8,FALSE),'estimativa bc débitos'!$K$17)</f>
        <v>0.5</v>
      </c>
      <c r="K116" s="12">
        <f t="shared" si="5"/>
        <v>0.5</v>
      </c>
      <c r="L116" s="18">
        <f t="shared" si="8"/>
        <v>293094717.41363192</v>
      </c>
      <c r="M116" s="18">
        <f t="shared" si="9"/>
        <v>294440919.8230924</v>
      </c>
      <c r="N116" s="18">
        <f>IFERROR(VLOOKUP(A116,'[2]estim bc créditos'!$H$4:$L$139,4,FALSE),0)</f>
        <v>8928176.4579541348</v>
      </c>
      <c r="O116" s="18">
        <f>IFERROR(VLOOKUP(A116,'[2]estim bc créditos'!$H$4:$L$139,5,FALSE),0)</f>
        <v>8890930.2098072432</v>
      </c>
    </row>
    <row r="117" spans="1:15" x14ac:dyDescent="0.2">
      <c r="A117" s="11">
        <v>517</v>
      </c>
      <c r="B117" s="15" t="s">
        <v>141</v>
      </c>
      <c r="C117" s="11" t="s">
        <v>15</v>
      </c>
      <c r="D117" s="14">
        <f>VLOOKUP(A117,'Correção Ocup Não Determinadas'!A:G,6,FALSE)</f>
        <v>34525879.158209518</v>
      </c>
      <c r="E117" s="14">
        <f>VLOOKUP(A117,'Correção Ocup Não Determinadas'!A:G,7,FALSE)</f>
        <v>39538433.005279168</v>
      </c>
      <c r="F117" s="15"/>
      <c r="G117" s="15"/>
      <c r="H117" s="15"/>
      <c r="I117" s="15"/>
      <c r="J117" s="15">
        <f>IFERROR(VLOOKUP(F117,'[1]Prod-CNAE-CF'!$A$5:$H$72,8,FALSE),'estimativa bc débitos'!$K$17)</f>
        <v>0.5</v>
      </c>
      <c r="K117" s="12">
        <f t="shared" si="5"/>
        <v>0.5</v>
      </c>
      <c r="L117" s="18">
        <f t="shared" si="8"/>
        <v>17262939.579104759</v>
      </c>
      <c r="M117" s="18">
        <f t="shared" si="9"/>
        <v>19769216.502639584</v>
      </c>
      <c r="N117" s="18">
        <f>IFERROR(VLOOKUP(A117,'[2]estim bc créditos'!$H$4:$L$139,4,FALSE),0)</f>
        <v>436759.63417103532</v>
      </c>
      <c r="O117" s="18">
        <f>IFERROR(VLOOKUP(A117,'[2]estim bc créditos'!$H$4:$L$139,5,FALSE),0)</f>
        <v>434079.00299772515</v>
      </c>
    </row>
    <row r="118" spans="1:15" ht="30" x14ac:dyDescent="0.2">
      <c r="A118" s="11">
        <v>518</v>
      </c>
      <c r="B118" s="38" t="s">
        <v>142</v>
      </c>
      <c r="C118" s="39" t="s">
        <v>258</v>
      </c>
      <c r="D118" s="14">
        <f>VLOOKUP(A118,'Correção Ocup Não Determinadas'!A:G,6,FALSE)</f>
        <v>1279148098.02806</v>
      </c>
      <c r="E118" s="14">
        <f>VLOOKUP(A118,'Correção Ocup Não Determinadas'!A:G,7,FALSE)</f>
        <v>1309020375.8685443</v>
      </c>
      <c r="F118" s="15"/>
      <c r="G118" s="15"/>
      <c r="H118" s="15"/>
      <c r="I118" s="15"/>
      <c r="J118" s="15">
        <f>IFERROR(VLOOKUP(F118,'[1]Prod-CNAE-CF'!$A$5:$H$72,8,FALSE),'estimativa bc débitos'!$K$17)</f>
        <v>0.5</v>
      </c>
      <c r="K118" s="12">
        <f t="shared" si="5"/>
        <v>0.5</v>
      </c>
      <c r="L118" s="18">
        <f t="shared" si="8"/>
        <v>639574049.01402998</v>
      </c>
      <c r="M118" s="18">
        <f t="shared" si="9"/>
        <v>654510187.93427217</v>
      </c>
      <c r="N118" s="18">
        <f>IFERROR(VLOOKUP(A118,'[2]estim bc créditos'!$H$4:$L$139,4,FALSE),0)</f>
        <v>24255391.110797022</v>
      </c>
      <c r="O118" s="18">
        <f>IFERROR(VLOOKUP(A118,'[2]estim bc créditos'!$H$4:$L$139,5,FALSE),0)</f>
        <v>25662287.883450333</v>
      </c>
    </row>
    <row r="119" spans="1:15" x14ac:dyDescent="0.2">
      <c r="A119" s="11">
        <v>519</v>
      </c>
      <c r="B119" s="15" t="s">
        <v>143</v>
      </c>
      <c r="C119" s="11" t="s">
        <v>15</v>
      </c>
      <c r="D119" s="14">
        <f>VLOOKUP(A119,'Correção Ocup Não Determinadas'!A:G,6,FALSE)</f>
        <v>1851543246.4131222</v>
      </c>
      <c r="E119" s="14">
        <f>VLOOKUP(A119,'Correção Ocup Não Determinadas'!A:G,7,FALSE)</f>
        <v>2056295120.1335223</v>
      </c>
      <c r="F119" s="15"/>
      <c r="G119" s="15"/>
      <c r="H119" s="15"/>
      <c r="I119" s="15"/>
      <c r="J119" s="15">
        <f>IFERROR(VLOOKUP(F119,'[1]Prod-CNAE-CF'!$A$5:$H$72,8,FALSE),'estimativa bc débitos'!$K$17)</f>
        <v>0.5</v>
      </c>
      <c r="K119" s="12">
        <f t="shared" si="5"/>
        <v>0.5</v>
      </c>
      <c r="L119" s="18">
        <f t="shared" si="8"/>
        <v>925771623.20656109</v>
      </c>
      <c r="M119" s="18">
        <f t="shared" si="9"/>
        <v>1028147560.0667611</v>
      </c>
      <c r="N119" s="18">
        <f>IFERROR(VLOOKUP(A119,'[2]estim bc créditos'!$H$4:$L$139,4,FALSE),0)</f>
        <v>33411402.294191644</v>
      </c>
      <c r="O119" s="18">
        <f>IFERROR(VLOOKUP(A119,'[2]estim bc créditos'!$H$4:$L$139,5,FALSE),0)</f>
        <v>41247794.936116554</v>
      </c>
    </row>
    <row r="120" spans="1:15" ht="30" x14ac:dyDescent="0.2">
      <c r="A120" s="11">
        <v>529</v>
      </c>
      <c r="B120" s="15" t="s">
        <v>144</v>
      </c>
      <c r="C120" s="11" t="s">
        <v>15</v>
      </c>
      <c r="D120" s="14">
        <f>VLOOKUP(A120,'Correção Ocup Não Determinadas'!A:G,6,FALSE)</f>
        <v>3299021676.8537402</v>
      </c>
      <c r="E120" s="14">
        <f>VLOOKUP(A120,'Correção Ocup Não Determinadas'!A:G,7,FALSE)</f>
        <v>3298714328.2482014</v>
      </c>
      <c r="F120" s="15"/>
      <c r="G120" s="15"/>
      <c r="H120" s="15"/>
      <c r="I120" s="15"/>
      <c r="J120" s="15">
        <f>IFERROR(VLOOKUP(F120,'[1]Prod-CNAE-CF'!$A$5:$H$72,8,FALSE),'estimativa bc débitos'!$K$17)</f>
        <v>0.5</v>
      </c>
      <c r="K120" s="12">
        <f t="shared" si="5"/>
        <v>0.5</v>
      </c>
      <c r="L120" s="18">
        <f t="shared" si="8"/>
        <v>1649510838.4268701</v>
      </c>
      <c r="M120" s="18">
        <f t="shared" si="9"/>
        <v>1649357164.1241007</v>
      </c>
      <c r="N120" s="18">
        <f>IFERROR(VLOOKUP(A120,'[2]estim bc créditos'!$H$4:$L$139,4,FALSE),0)</f>
        <v>89156831.799145952</v>
      </c>
      <c r="O120" s="18">
        <f>IFERROR(VLOOKUP(A120,'[2]estim bc créditos'!$H$4:$L$139,5,FALSE),0)</f>
        <v>91586245.052613974</v>
      </c>
    </row>
    <row r="121" spans="1:15" x14ac:dyDescent="0.2">
      <c r="A121" s="11">
        <v>610</v>
      </c>
      <c r="B121" s="15" t="s">
        <v>145</v>
      </c>
      <c r="C121" s="11" t="s">
        <v>15</v>
      </c>
      <c r="D121" s="14">
        <f>VLOOKUP(A121,'Correção Ocup Não Determinadas'!A:G,6,FALSE)</f>
        <v>472437091.88540238</v>
      </c>
      <c r="E121" s="14">
        <f>VLOOKUP(A121,'Correção Ocup Não Determinadas'!A:G,7,FALSE)</f>
        <v>522154013.50372958</v>
      </c>
      <c r="F121" s="15"/>
      <c r="G121" s="15"/>
      <c r="H121" s="15"/>
      <c r="I121" s="15"/>
      <c r="J121" s="15">
        <f>IFERROR(VLOOKUP(F121,'[1]Prod-CNAE-CF'!$A$5:$H$72,8,FALSE),'estimativa bc débitos'!$K$17)</f>
        <v>0.5</v>
      </c>
      <c r="K121" s="12">
        <f t="shared" si="5"/>
        <v>0.5</v>
      </c>
      <c r="L121" s="18">
        <f t="shared" si="8"/>
        <v>236218545.94270119</v>
      </c>
      <c r="M121" s="18">
        <f t="shared" si="9"/>
        <v>261077006.75186479</v>
      </c>
      <c r="N121" s="18">
        <f>IFERROR(VLOOKUP(A121,'[2]estim bc créditos'!$H$4:$L$139,4,FALSE),0)</f>
        <v>32616255.080608908</v>
      </c>
      <c r="O121" s="18">
        <f>IFERROR(VLOOKUP(A121,'[2]estim bc créditos'!$H$4:$L$139,5,FALSE),0)</f>
        <v>38148397.384901911</v>
      </c>
    </row>
    <row r="122" spans="1:15" x14ac:dyDescent="0.2">
      <c r="A122" s="11">
        <v>620</v>
      </c>
      <c r="B122" s="15" t="s">
        <v>146</v>
      </c>
      <c r="C122" s="11" t="s">
        <v>15</v>
      </c>
      <c r="D122" s="14">
        <f>VLOOKUP(A122,'Correção Ocup Não Determinadas'!A:G,6,FALSE)</f>
        <v>122897012.53965086</v>
      </c>
      <c r="E122" s="14">
        <f>VLOOKUP(A122,'Correção Ocup Não Determinadas'!A:G,7,FALSE)</f>
        <v>180374071.07728046</v>
      </c>
      <c r="F122" s="15"/>
      <c r="G122" s="15"/>
      <c r="H122" s="15"/>
      <c r="I122" s="15"/>
      <c r="J122" s="15">
        <f>IFERROR(VLOOKUP(F122,'[1]Prod-CNAE-CF'!$A$5:$H$72,8,FALSE),'estimativa bc débitos'!$K$17)</f>
        <v>0.5</v>
      </c>
      <c r="K122" s="12">
        <f t="shared" si="5"/>
        <v>0.5</v>
      </c>
      <c r="L122" s="18">
        <f t="shared" si="8"/>
        <v>61448506.269825429</v>
      </c>
      <c r="M122" s="18">
        <f t="shared" si="9"/>
        <v>90187035.538640231</v>
      </c>
      <c r="N122" s="18">
        <f>IFERROR(VLOOKUP(A122,'[2]estim bc créditos'!$H$4:$L$139,4,FALSE),0)</f>
        <v>5501942.6943109864</v>
      </c>
      <c r="O122" s="18">
        <f>IFERROR(VLOOKUP(A122,'[2]estim bc créditos'!$H$4:$L$139,5,FALSE),0)</f>
        <v>22414751.376366463</v>
      </c>
    </row>
    <row r="123" spans="1:15" x14ac:dyDescent="0.2">
      <c r="A123" s="11">
        <v>630</v>
      </c>
      <c r="B123" s="15" t="s">
        <v>147</v>
      </c>
      <c r="C123" s="11" t="s">
        <v>15</v>
      </c>
      <c r="D123" s="14">
        <f>VLOOKUP(A123,'Correção Ocup Não Determinadas'!A:G,6,FALSE)</f>
        <v>16347963.916254664</v>
      </c>
      <c r="E123" s="14">
        <f>VLOOKUP(A123,'Correção Ocup Não Determinadas'!A:G,7,FALSE)</f>
        <v>18675325.03170383</v>
      </c>
      <c r="F123" s="15"/>
      <c r="G123" s="15"/>
      <c r="H123" s="15"/>
      <c r="I123" s="15"/>
      <c r="J123" s="15">
        <f>IFERROR(VLOOKUP(F123,'[1]Prod-CNAE-CF'!$A$5:$H$72,8,FALSE),'estimativa bc débitos'!$K$17)</f>
        <v>0.5</v>
      </c>
      <c r="K123" s="12">
        <f t="shared" si="5"/>
        <v>0.5</v>
      </c>
      <c r="L123" s="18">
        <f t="shared" si="8"/>
        <v>8173981.9581273319</v>
      </c>
      <c r="M123" s="18">
        <f t="shared" si="9"/>
        <v>9337662.5158519149</v>
      </c>
      <c r="N123" s="18">
        <f>IFERROR(VLOOKUP(A123,'[2]estim bc créditos'!$H$4:$L$139,4,FALSE),0)</f>
        <v>64581.056573416827</v>
      </c>
      <c r="O123" s="18">
        <f>IFERROR(VLOOKUP(A123,'[2]estim bc créditos'!$H$4:$L$139,5,FALSE),0)</f>
        <v>285761.48642255075</v>
      </c>
    </row>
    <row r="124" spans="1:15" x14ac:dyDescent="0.2">
      <c r="A124" s="11">
        <v>640</v>
      </c>
      <c r="B124" s="15" t="s">
        <v>148</v>
      </c>
      <c r="C124" s="11" t="s">
        <v>15</v>
      </c>
      <c r="D124" s="14">
        <f>VLOOKUP(A124,'Correção Ocup Não Determinadas'!A:G,6,FALSE)</f>
        <v>27917999.647458997</v>
      </c>
      <c r="E124" s="14">
        <f>VLOOKUP(A124,'Correção Ocup Não Determinadas'!A:G,7,FALSE)</f>
        <v>31633363.743390825</v>
      </c>
      <c r="F124" s="15"/>
      <c r="G124" s="15"/>
      <c r="H124" s="15"/>
      <c r="I124" s="15"/>
      <c r="J124" s="15">
        <f>IFERROR(VLOOKUP(F124,'[1]Prod-CNAE-CF'!$A$5:$H$72,8,FALSE),'estimativa bc débitos'!$K$17)</f>
        <v>0.5</v>
      </c>
      <c r="K124" s="12">
        <f t="shared" si="5"/>
        <v>0.5</v>
      </c>
      <c r="L124" s="18">
        <f t="shared" si="8"/>
        <v>13958999.823729498</v>
      </c>
      <c r="M124" s="18">
        <f t="shared" si="9"/>
        <v>15816681.871695412</v>
      </c>
      <c r="N124" s="18">
        <f>IFERROR(VLOOKUP(A124,'[2]estim bc créditos'!$H$4:$L$139,4,FALSE),0)</f>
        <v>1301585.1917891966</v>
      </c>
      <c r="O124" s="18">
        <f>IFERROR(VLOOKUP(A124,'[2]estim bc créditos'!$H$4:$L$139,5,FALSE),0)</f>
        <v>1510732.2017993978</v>
      </c>
    </row>
    <row r="125" spans="1:15" x14ac:dyDescent="0.2">
      <c r="A125" s="11">
        <v>710</v>
      </c>
      <c r="B125" s="15" t="s">
        <v>149</v>
      </c>
      <c r="C125" s="11" t="s">
        <v>15</v>
      </c>
      <c r="D125" s="14">
        <f>VLOOKUP(A125,'Correção Ocup Não Determinadas'!A:G,6,FALSE)</f>
        <v>137837813.80515274</v>
      </c>
      <c r="E125" s="14">
        <f>VLOOKUP(A125,'Correção Ocup Não Determinadas'!A:G,7,FALSE)</f>
        <v>131673772.08705617</v>
      </c>
      <c r="F125" s="15"/>
      <c r="G125" s="15"/>
      <c r="H125" s="15"/>
      <c r="I125" s="15"/>
      <c r="J125" s="15">
        <f>IFERROR(VLOOKUP(F125,'[1]Prod-CNAE-CF'!$A$5:$H$72,8,FALSE),'estimativa bc débitos'!$K$17)</f>
        <v>0.5</v>
      </c>
      <c r="K125" s="12">
        <f t="shared" si="5"/>
        <v>0.5</v>
      </c>
      <c r="L125" s="18">
        <f t="shared" si="8"/>
        <v>68918906.902576372</v>
      </c>
      <c r="M125" s="18">
        <f t="shared" si="9"/>
        <v>65836886.043528087</v>
      </c>
      <c r="N125" s="18">
        <f>IFERROR(VLOOKUP(A125,'[2]estim bc créditos'!$H$4:$L$139,4,FALSE),0)</f>
        <v>3396952.0447490434</v>
      </c>
      <c r="O125" s="18">
        <f>IFERROR(VLOOKUP(A125,'[2]estim bc créditos'!$H$4:$L$139,5,FALSE),0)</f>
        <v>2736659.7968319799</v>
      </c>
    </row>
    <row r="126" spans="1:15" x14ac:dyDescent="0.2">
      <c r="A126" s="11">
        <v>720</v>
      </c>
      <c r="B126" s="15" t="s">
        <v>150</v>
      </c>
      <c r="C126" s="11" t="s">
        <v>15</v>
      </c>
      <c r="D126" s="14">
        <f>VLOOKUP(A126,'Correção Ocup Não Determinadas'!A:G,6,FALSE)</f>
        <v>28515566.1695996</v>
      </c>
      <c r="E126" s="14">
        <f>VLOOKUP(A126,'Correção Ocup Não Determinadas'!A:G,7,FALSE)</f>
        <v>31461077.619497634</v>
      </c>
      <c r="F126" s="15"/>
      <c r="G126" s="15"/>
      <c r="H126" s="15"/>
      <c r="I126" s="15"/>
      <c r="J126" s="15">
        <f>IFERROR(VLOOKUP(F126,'[1]Prod-CNAE-CF'!$A$5:$H$72,8,FALSE),'estimativa bc débitos'!$K$17)</f>
        <v>0.5</v>
      </c>
      <c r="K126" s="12">
        <f t="shared" si="5"/>
        <v>0.5</v>
      </c>
      <c r="L126" s="18">
        <f t="shared" si="8"/>
        <v>14257783.0847998</v>
      </c>
      <c r="M126" s="18">
        <f t="shared" si="9"/>
        <v>15730538.809748817</v>
      </c>
      <c r="N126" s="18">
        <f>IFERROR(VLOOKUP(A126,'[2]estim bc créditos'!$H$4:$L$139,4,FALSE),0)</f>
        <v>742294.56610623142</v>
      </c>
      <c r="O126" s="18">
        <f>IFERROR(VLOOKUP(A126,'[2]estim bc créditos'!$H$4:$L$139,5,FALSE),0)</f>
        <v>374198.75231702975</v>
      </c>
    </row>
    <row r="127" spans="1:15" x14ac:dyDescent="0.2">
      <c r="A127" s="11">
        <v>730</v>
      </c>
      <c r="B127" s="15" t="s">
        <v>151</v>
      </c>
      <c r="C127" s="11" t="s">
        <v>15</v>
      </c>
      <c r="D127" s="14">
        <f>VLOOKUP(A127,'Correção Ocup Não Determinadas'!A:G,6,FALSE)</f>
        <v>8734043.9703274257</v>
      </c>
      <c r="E127" s="14">
        <f>VLOOKUP(A127,'Correção Ocup Não Determinadas'!A:G,7,FALSE)</f>
        <v>10341981.906316547</v>
      </c>
      <c r="F127" s="15"/>
      <c r="G127" s="15"/>
      <c r="H127" s="15"/>
      <c r="I127" s="15"/>
      <c r="J127" s="15">
        <f>IFERROR(VLOOKUP(F127,'[1]Prod-CNAE-CF'!$A$5:$H$72,8,FALSE),'estimativa bc débitos'!$K$17)</f>
        <v>0.5</v>
      </c>
      <c r="K127" s="12">
        <f t="shared" si="5"/>
        <v>0.5</v>
      </c>
      <c r="L127" s="18">
        <f t="shared" si="8"/>
        <v>4367021.9851637129</v>
      </c>
      <c r="M127" s="18">
        <f t="shared" si="9"/>
        <v>5170990.9531582734</v>
      </c>
      <c r="N127" s="18">
        <f>IFERROR(VLOOKUP(A127,'[2]estim bc créditos'!$H$4:$L$139,4,FALSE),0)</f>
        <v>43527.646454581372</v>
      </c>
      <c r="O127" s="18">
        <f>IFERROR(VLOOKUP(A127,'[2]estim bc créditos'!$H$4:$L$139,5,FALSE),0)</f>
        <v>52041.76041328704</v>
      </c>
    </row>
    <row r="128" spans="1:15" x14ac:dyDescent="0.2">
      <c r="A128" s="11">
        <v>740</v>
      </c>
      <c r="B128" s="15" t="s">
        <v>152</v>
      </c>
      <c r="C128" s="11" t="s">
        <v>15</v>
      </c>
      <c r="D128" s="14">
        <f>VLOOKUP(A128,'Correção Ocup Não Determinadas'!A:G,6,FALSE)</f>
        <v>1358602.1418774638</v>
      </c>
      <c r="E128" s="14">
        <f>VLOOKUP(A128,'Correção Ocup Não Determinadas'!A:G,7,FALSE)</f>
        <v>775662.57639646681</v>
      </c>
      <c r="F128" s="15"/>
      <c r="G128" s="15"/>
      <c r="H128" s="15"/>
      <c r="I128" s="15"/>
      <c r="J128" s="15">
        <f>IFERROR(VLOOKUP(F128,'[1]Prod-CNAE-CF'!$A$5:$H$72,8,FALSE),'estimativa bc débitos'!$K$17)</f>
        <v>0.5</v>
      </c>
      <c r="K128" s="12">
        <f t="shared" si="5"/>
        <v>0.5</v>
      </c>
      <c r="L128" s="18">
        <f t="shared" si="8"/>
        <v>679301.07093873189</v>
      </c>
      <c r="M128" s="18">
        <f t="shared" si="9"/>
        <v>387831.28819823341</v>
      </c>
      <c r="N128" s="18">
        <f>IFERROR(VLOOKUP(A128,'[2]estim bc créditos'!$H$4:$L$139,4,FALSE),0)</f>
        <v>31053.437639793196</v>
      </c>
      <c r="O128" s="18">
        <f>IFERROR(VLOOKUP(A128,'[2]estim bc créditos'!$H$4:$L$139,5,FALSE),0)</f>
        <v>4506.7395856477178</v>
      </c>
    </row>
    <row r="129" spans="1:15" x14ac:dyDescent="0.2">
      <c r="A129" s="11">
        <v>750</v>
      </c>
      <c r="B129" s="15" t="s">
        <v>153</v>
      </c>
      <c r="C129" s="11" t="s">
        <v>15</v>
      </c>
      <c r="D129" s="14">
        <f>VLOOKUP(A129,'Correção Ocup Não Determinadas'!A:G,6,FALSE)</f>
        <v>8535093.6755868942</v>
      </c>
      <c r="E129" s="14">
        <f>VLOOKUP(A129,'Correção Ocup Não Determinadas'!A:G,7,FALSE)</f>
        <v>8257696.2669130703</v>
      </c>
      <c r="F129" s="15"/>
      <c r="G129" s="15"/>
      <c r="H129" s="15"/>
      <c r="I129" s="15"/>
      <c r="J129" s="15">
        <f>IFERROR(VLOOKUP(F129,'[1]Prod-CNAE-CF'!$A$5:$H$72,8,FALSE),'estimativa bc débitos'!$K$17)</f>
        <v>0.5</v>
      </c>
      <c r="K129" s="12">
        <f t="shared" si="5"/>
        <v>0.5</v>
      </c>
      <c r="L129" s="18">
        <f t="shared" si="8"/>
        <v>4267546.8377934471</v>
      </c>
      <c r="M129" s="18">
        <f t="shared" si="9"/>
        <v>4128848.1334565352</v>
      </c>
      <c r="N129" s="18">
        <f>IFERROR(VLOOKUP(A129,'[2]estim bc créditos'!$H$4:$L$139,4,FALSE),0)</f>
        <v>98871.682211356907</v>
      </c>
      <c r="O129" s="18">
        <f>IFERROR(VLOOKUP(A129,'[2]estim bc créditos'!$H$4:$L$139,5,FALSE),0)</f>
        <v>83987.100161594397</v>
      </c>
    </row>
    <row r="130" spans="1:15" ht="30" x14ac:dyDescent="0.2">
      <c r="A130" s="11">
        <v>760</v>
      </c>
      <c r="B130" s="15" t="s">
        <v>154</v>
      </c>
      <c r="C130" s="11" t="s">
        <v>15</v>
      </c>
      <c r="D130" s="14">
        <f>VLOOKUP(A130,'Correção Ocup Não Determinadas'!A:G,6,FALSE)</f>
        <v>71666503.733026177</v>
      </c>
      <c r="E130" s="14">
        <f>VLOOKUP(A130,'Correção Ocup Não Determinadas'!A:G,7,FALSE)</f>
        <v>91705309.663032293</v>
      </c>
      <c r="F130" s="15"/>
      <c r="G130" s="15"/>
      <c r="H130" s="15"/>
      <c r="I130" s="15"/>
      <c r="J130" s="15">
        <f>IFERROR(VLOOKUP(F130,'[1]Prod-CNAE-CF'!$A$5:$H$72,8,FALSE),'estimativa bc débitos'!$K$17)</f>
        <v>0.5</v>
      </c>
      <c r="K130" s="12">
        <f t="shared" si="5"/>
        <v>0.5</v>
      </c>
      <c r="L130" s="18">
        <f t="shared" si="8"/>
        <v>35833251.866513088</v>
      </c>
      <c r="M130" s="18">
        <f t="shared" si="9"/>
        <v>45852654.831516147</v>
      </c>
      <c r="N130" s="18">
        <f>IFERROR(VLOOKUP(A130,'[2]estim bc créditos'!$H$4:$L$139,4,FALSE),0)</f>
        <v>545019.05257794331</v>
      </c>
      <c r="O130" s="18">
        <f>IFERROR(VLOOKUP(A130,'[2]estim bc créditos'!$H$4:$L$139,5,FALSE),0)</f>
        <v>582552.68267758214</v>
      </c>
    </row>
    <row r="131" spans="1:15" x14ac:dyDescent="0.2">
      <c r="A131" s="11">
        <v>770</v>
      </c>
      <c r="B131" s="15" t="s">
        <v>155</v>
      </c>
      <c r="C131" s="11" t="s">
        <v>15</v>
      </c>
      <c r="D131" s="14">
        <f>VLOOKUP(A131,'Correção Ocup Não Determinadas'!A:G,6,FALSE)</f>
        <v>33646527.801873572</v>
      </c>
      <c r="E131" s="14">
        <f>VLOOKUP(A131,'Correção Ocup Não Determinadas'!A:G,7,FALSE)</f>
        <v>33856460.925945573</v>
      </c>
      <c r="F131" s="15"/>
      <c r="G131" s="15"/>
      <c r="H131" s="15"/>
      <c r="I131" s="15"/>
      <c r="J131" s="15">
        <f>IFERROR(VLOOKUP(F131,'[1]Prod-CNAE-CF'!$A$5:$H$72,8,FALSE),'estimativa bc débitos'!$K$17)</f>
        <v>0.5</v>
      </c>
      <c r="K131" s="12">
        <f t="shared" si="5"/>
        <v>0.5</v>
      </c>
      <c r="L131" s="18">
        <f t="shared" si="8"/>
        <v>16823263.900936786</v>
      </c>
      <c r="M131" s="18">
        <f t="shared" si="9"/>
        <v>16928230.462972786</v>
      </c>
      <c r="N131" s="18">
        <f>IFERROR(VLOOKUP(A131,'[2]estim bc créditos'!$H$4:$L$139,4,FALSE),0)</f>
        <v>742427.18728535937</v>
      </c>
      <c r="O131" s="18">
        <f>IFERROR(VLOOKUP(A131,'[2]estim bc créditos'!$H$4:$L$139,5,FALSE),0)</f>
        <v>948025.80916704808</v>
      </c>
    </row>
    <row r="132" spans="1:15" ht="30" x14ac:dyDescent="0.2">
      <c r="A132" s="11">
        <v>780</v>
      </c>
      <c r="B132" s="15" t="s">
        <v>156</v>
      </c>
      <c r="C132" s="11" t="s">
        <v>15</v>
      </c>
      <c r="D132" s="14">
        <f>VLOOKUP(A132,'Correção Ocup Não Determinadas'!A:G,6,FALSE)</f>
        <v>33548607.29712313</v>
      </c>
      <c r="E132" s="14">
        <f>VLOOKUP(A132,'Correção Ocup Não Determinadas'!A:G,7,FALSE)</f>
        <v>29191378.697354808</v>
      </c>
      <c r="F132" s="15"/>
      <c r="G132" s="15"/>
      <c r="H132" s="15"/>
      <c r="I132" s="15"/>
      <c r="J132" s="15">
        <f>IFERROR(VLOOKUP(F132,'[1]Prod-CNAE-CF'!$A$5:$H$72,8,FALSE),'estimativa bc débitos'!$K$17)</f>
        <v>0.5</v>
      </c>
      <c r="K132" s="12">
        <f t="shared" ref="K132:K140" si="10">1-J132</f>
        <v>0.5</v>
      </c>
      <c r="L132" s="18">
        <f t="shared" ref="L132:L139" si="11">D132*$K132</f>
        <v>16774303.648561565</v>
      </c>
      <c r="M132" s="18">
        <f t="shared" ref="M132:M139" si="12">E132*$K132</f>
        <v>14595689.348677404</v>
      </c>
      <c r="N132" s="18">
        <f>IFERROR(VLOOKUP(A132,'[2]estim bc créditos'!$H$4:$L$139,4,FALSE),0)</f>
        <v>2284322.693470574</v>
      </c>
      <c r="O132" s="18">
        <f>IFERROR(VLOOKUP(A132,'[2]estim bc créditos'!$H$4:$L$139,5,FALSE),0)</f>
        <v>1136520.5173136201</v>
      </c>
    </row>
    <row r="133" spans="1:15" x14ac:dyDescent="0.2">
      <c r="A133" s="11">
        <v>810</v>
      </c>
      <c r="B133" s="15" t="s">
        <v>157</v>
      </c>
      <c r="C133" s="11" t="s">
        <v>15</v>
      </c>
      <c r="D133" s="14">
        <f>VLOOKUP(A133,'Correção Ocup Não Determinadas'!A:G,6,FALSE)</f>
        <v>14638410.334306361</v>
      </c>
      <c r="E133" s="14">
        <f>VLOOKUP(A133,'Correção Ocup Não Determinadas'!A:G,7,FALSE)</f>
        <v>15752889.932218835</v>
      </c>
      <c r="F133" s="15"/>
      <c r="G133" s="15"/>
      <c r="H133" s="15"/>
      <c r="I133" s="15"/>
      <c r="J133" s="15">
        <f>IFERROR(VLOOKUP(F133,'[1]Prod-CNAE-CF'!$A$5:$H$72,8,FALSE),'estimativa bc débitos'!$K$17)</f>
        <v>0.5</v>
      </c>
      <c r="K133" s="12">
        <f t="shared" si="10"/>
        <v>0.5</v>
      </c>
      <c r="L133" s="18">
        <f t="shared" si="11"/>
        <v>7319205.1671531806</v>
      </c>
      <c r="M133" s="18">
        <f t="shared" si="12"/>
        <v>7876444.9661094174</v>
      </c>
      <c r="N133" s="18">
        <f>IFERROR(VLOOKUP(A133,'[2]estim bc créditos'!$H$4:$L$139,4,FALSE),0)</f>
        <v>455973.36401053524</v>
      </c>
      <c r="O133" s="18">
        <f>IFERROR(VLOOKUP(A133,'[2]estim bc créditos'!$H$4:$L$139,5,FALSE),0)</f>
        <v>177651.39487346116</v>
      </c>
    </row>
    <row r="134" spans="1:15" x14ac:dyDescent="0.2">
      <c r="A134" s="11">
        <v>820</v>
      </c>
      <c r="B134" s="15" t="s">
        <v>158</v>
      </c>
      <c r="C134" s="11" t="s">
        <v>15</v>
      </c>
      <c r="D134" s="14">
        <f>VLOOKUP(A134,'Correção Ocup Não Determinadas'!A:G,6,FALSE)</f>
        <v>7831677.4268686613</v>
      </c>
      <c r="E134" s="14">
        <f>VLOOKUP(A134,'Correção Ocup Não Determinadas'!A:G,7,FALSE)</f>
        <v>8689702.9536999166</v>
      </c>
      <c r="F134" s="15"/>
      <c r="G134" s="15"/>
      <c r="H134" s="15"/>
      <c r="I134" s="15"/>
      <c r="J134" s="15">
        <f>IFERROR(VLOOKUP(F134,'[1]Prod-CNAE-CF'!$A$5:$H$72,8,FALSE),'estimativa bc débitos'!$K$17)</f>
        <v>0.5</v>
      </c>
      <c r="K134" s="12">
        <f t="shared" si="10"/>
        <v>0.5</v>
      </c>
      <c r="L134" s="18">
        <f t="shared" si="11"/>
        <v>3915838.7134343307</v>
      </c>
      <c r="M134" s="18">
        <f t="shared" si="12"/>
        <v>4344851.4768499583</v>
      </c>
      <c r="N134" s="18">
        <f>IFERROR(VLOOKUP(A134,'[2]estim bc créditos'!$H$4:$L$139,4,FALSE),0)</f>
        <v>101405.87444842582</v>
      </c>
      <c r="O134" s="18">
        <f>IFERROR(VLOOKUP(A134,'[2]estim bc créditos'!$H$4:$L$139,5,FALSE),0)</f>
        <v>82049.540877107487</v>
      </c>
    </row>
    <row r="135" spans="1:15" x14ac:dyDescent="0.2">
      <c r="A135" s="11">
        <v>830</v>
      </c>
      <c r="B135" s="15" t="s">
        <v>159</v>
      </c>
      <c r="C135" s="11" t="s">
        <v>15</v>
      </c>
      <c r="D135" s="14">
        <f>VLOOKUP(A135,'Correção Ocup Não Determinadas'!A:G,6,FALSE)</f>
        <v>2158498.967896224</v>
      </c>
      <c r="E135" s="14">
        <f>VLOOKUP(A135,'Correção Ocup Não Determinadas'!A:G,7,FALSE)</f>
        <v>2841490.8697642819</v>
      </c>
      <c r="F135" s="15"/>
      <c r="G135" s="15"/>
      <c r="H135" s="15"/>
      <c r="I135" s="15"/>
      <c r="J135" s="15">
        <f>IFERROR(VLOOKUP(F135,'[1]Prod-CNAE-CF'!$A$5:$H$72,8,FALSE),'estimativa bc débitos'!$K$17)</f>
        <v>0.5</v>
      </c>
      <c r="K135" s="12">
        <f t="shared" si="10"/>
        <v>0.5</v>
      </c>
      <c r="L135" s="18">
        <f t="shared" si="11"/>
        <v>1079249.483948112</v>
      </c>
      <c r="M135" s="18">
        <f t="shared" si="12"/>
        <v>1420745.434882141</v>
      </c>
      <c r="N135" s="18">
        <f>IFERROR(VLOOKUP(A135,'[2]estim bc créditos'!$H$4:$L$139,4,FALSE),0)</f>
        <v>13722.024366786656</v>
      </c>
      <c r="O135" s="18">
        <f>IFERROR(VLOOKUP(A135,'[2]estim bc créditos'!$H$4:$L$139,5,FALSE),0)</f>
        <v>16078.876646201112</v>
      </c>
    </row>
    <row r="136" spans="1:15" x14ac:dyDescent="0.2">
      <c r="A136" s="11">
        <v>840</v>
      </c>
      <c r="B136" s="15" t="s">
        <v>160</v>
      </c>
      <c r="C136" s="11" t="s">
        <v>15</v>
      </c>
      <c r="D136" s="14">
        <f>VLOOKUP(A136,'Correção Ocup Não Determinadas'!A:G,6,FALSE)</f>
        <v>25668787.240739208</v>
      </c>
      <c r="E136" s="14">
        <f>VLOOKUP(A136,'Correção Ocup Não Determinadas'!A:G,7,FALSE)</f>
        <v>29067673.496115115</v>
      </c>
      <c r="F136" s="15"/>
      <c r="G136" s="15"/>
      <c r="H136" s="15"/>
      <c r="I136" s="15"/>
      <c r="J136" s="15">
        <f>IFERROR(VLOOKUP(F136,'[1]Prod-CNAE-CF'!$A$5:$H$72,8,FALSE),'estimativa bc débitos'!$K$17)</f>
        <v>0.5</v>
      </c>
      <c r="K136" s="12">
        <f t="shared" si="10"/>
        <v>0.5</v>
      </c>
      <c r="L136" s="18">
        <f t="shared" si="11"/>
        <v>12834393.620369604</v>
      </c>
      <c r="M136" s="18">
        <f t="shared" si="12"/>
        <v>14533836.748057557</v>
      </c>
      <c r="N136" s="18">
        <f>IFERROR(VLOOKUP(A136,'[2]estim bc créditos'!$H$4:$L$139,4,FALSE),0)</f>
        <v>725044.15159554523</v>
      </c>
      <c r="O136" s="18">
        <f>IFERROR(VLOOKUP(A136,'[2]estim bc créditos'!$H$4:$L$139,5,FALSE),0)</f>
        <v>506282.73679512745</v>
      </c>
    </row>
    <row r="137" spans="1:15" x14ac:dyDescent="0.2">
      <c r="A137" s="11">
        <v>860</v>
      </c>
      <c r="B137" s="15" t="s">
        <v>161</v>
      </c>
      <c r="C137" s="11" t="s">
        <v>15</v>
      </c>
      <c r="D137" s="14">
        <f>VLOOKUP(A137,'Correção Ocup Não Determinadas'!A:G,6,FALSE)</f>
        <v>5228902.9789526546</v>
      </c>
      <c r="E137" s="14">
        <f>VLOOKUP(A137,'Correção Ocup Não Determinadas'!A:G,7,FALSE)</f>
        <v>6909222.1167627461</v>
      </c>
      <c r="F137" s="15"/>
      <c r="G137" s="15"/>
      <c r="H137" s="15"/>
      <c r="I137" s="15"/>
      <c r="J137" s="15">
        <f>IFERROR(VLOOKUP(F137,'[1]Prod-CNAE-CF'!$A$5:$H$72,8,FALSE),'estimativa bc débitos'!$K$17)</f>
        <v>0.5</v>
      </c>
      <c r="K137" s="12">
        <f t="shared" si="10"/>
        <v>0.5</v>
      </c>
      <c r="L137" s="18">
        <f t="shared" si="11"/>
        <v>2614451.4894763273</v>
      </c>
      <c r="M137" s="18">
        <f t="shared" si="12"/>
        <v>3454611.0583813731</v>
      </c>
      <c r="N137" s="18">
        <f>IFERROR(VLOOKUP(A137,'[2]estim bc créditos'!$H$4:$L$139,4,FALSE),0)</f>
        <v>16872.411593133507</v>
      </c>
      <c r="O137" s="18">
        <f>IFERROR(VLOOKUP(A137,'[2]estim bc créditos'!$H$4:$L$139,5,FALSE),0)</f>
        <v>155340.05235796579</v>
      </c>
    </row>
    <row r="138" spans="1:15" x14ac:dyDescent="0.2">
      <c r="A138" s="11">
        <v>870</v>
      </c>
      <c r="B138" s="15" t="s">
        <v>162</v>
      </c>
      <c r="C138" s="11" t="s">
        <v>15</v>
      </c>
      <c r="D138" s="14">
        <f>VLOOKUP(A138,'Correção Ocup Não Determinadas'!A:G,6,FALSE)</f>
        <v>6037567.2053680522</v>
      </c>
      <c r="E138" s="14">
        <f>VLOOKUP(A138,'Correção Ocup Não Determinadas'!A:G,7,FALSE)</f>
        <v>7518232.7761705061</v>
      </c>
      <c r="F138" s="15"/>
      <c r="G138" s="15"/>
      <c r="H138" s="15"/>
      <c r="I138" s="15"/>
      <c r="J138" s="15">
        <f>IFERROR(VLOOKUP(F138,'[1]Prod-CNAE-CF'!$A$5:$H$72,8,FALSE),'estimativa bc débitos'!$K$17)</f>
        <v>0.5</v>
      </c>
      <c r="K138" s="12">
        <f t="shared" si="10"/>
        <v>0.5</v>
      </c>
      <c r="L138" s="18">
        <f t="shared" si="11"/>
        <v>3018783.6026840261</v>
      </c>
      <c r="M138" s="18">
        <f t="shared" si="12"/>
        <v>3759116.3880852531</v>
      </c>
      <c r="N138" s="18">
        <f>IFERROR(VLOOKUP(A138,'[2]estim bc créditos'!$H$4:$L$139,4,FALSE),0)</f>
        <v>53987.764858670722</v>
      </c>
      <c r="O138" s="18">
        <f>IFERROR(VLOOKUP(A138,'[2]estim bc créditos'!$H$4:$L$139,5,FALSE),0)</f>
        <v>38637.364904837741</v>
      </c>
    </row>
    <row r="139" spans="1:15" x14ac:dyDescent="0.2">
      <c r="A139" s="11">
        <v>900</v>
      </c>
      <c r="B139" s="15" t="s">
        <v>163</v>
      </c>
      <c r="C139" s="11" t="s">
        <v>15</v>
      </c>
      <c r="D139" s="14">
        <f>VLOOKUP(A139,'Correção Ocup Não Determinadas'!A:G,6,FALSE)</f>
        <v>437918624.56961811</v>
      </c>
      <c r="E139" s="14">
        <f>VLOOKUP(A139,'Correção Ocup Não Determinadas'!A:G,7,FALSE)</f>
        <v>428684144.54632658</v>
      </c>
      <c r="F139" s="15"/>
      <c r="G139" s="15"/>
      <c r="H139" s="15"/>
      <c r="I139" s="15"/>
      <c r="J139" s="15">
        <f>IFERROR(VLOOKUP(F139,'[1]Prod-CNAE-CF'!$A$5:$H$72,8,FALSE),'estimativa bc débitos'!$K$17)</f>
        <v>0.5</v>
      </c>
      <c r="K139" s="12">
        <f t="shared" si="10"/>
        <v>0.5</v>
      </c>
      <c r="L139" s="18">
        <f t="shared" si="11"/>
        <v>218959312.28480905</v>
      </c>
      <c r="M139" s="18">
        <f t="shared" si="12"/>
        <v>214342072.27316329</v>
      </c>
      <c r="N139" s="18">
        <f>IFERROR(VLOOKUP(A139,'[2]estim bc créditos'!$H$4:$L$139,4,FALSE),0)</f>
        <v>6652819.3196592983</v>
      </c>
      <c r="O139" s="18">
        <f>IFERROR(VLOOKUP(A139,'[2]estim bc créditos'!$H$4:$L$139,5,FALSE),0)</f>
        <v>5456877.4373232871</v>
      </c>
    </row>
    <row r="140" spans="1:15" x14ac:dyDescent="0.2">
      <c r="A140" s="47" t="s">
        <v>0</v>
      </c>
      <c r="B140" s="48"/>
      <c r="C140" s="11" t="s">
        <v>15</v>
      </c>
      <c r="D140" s="14" t="str">
        <f>VLOOKUP(A140,'Correção Ocup Não Determinadas'!A:G,6,FALSE)</f>
        <v>-</v>
      </c>
      <c r="E140" s="14" t="str">
        <f>VLOOKUP(A140,'Correção Ocup Não Determinadas'!A:G,7,FALSE)</f>
        <v>-</v>
      </c>
      <c r="F140"/>
      <c r="G140"/>
      <c r="H140"/>
      <c r="I140"/>
      <c r="J140" s="15">
        <f>IFERROR(VLOOKUP(F140,'[1]Prod-CNAE-CF'!$A$5:$H$72,8,FALSE),'estimativa bc débitos'!$K$17)</f>
        <v>0.5</v>
      </c>
      <c r="K140" s="12">
        <f t="shared" si="10"/>
        <v>0.5</v>
      </c>
      <c r="L140" s="18"/>
      <c r="M140" s="18"/>
      <c r="N140" s="18">
        <f>IFERROR(VLOOKUP(A140,'[2]estim bc créditos'!$H$4:$L$139,4,FALSE),0)</f>
        <v>0</v>
      </c>
      <c r="O140" s="18">
        <f>IFERROR(VLOOKUP(A140,'[2]estim bc créditos'!$H$4:$L$139,5,FALSE),0)</f>
        <v>0</v>
      </c>
    </row>
    <row r="141" spans="1:15" x14ac:dyDescent="0.2">
      <c r="D141" s="1"/>
      <c r="E141" s="1"/>
    </row>
    <row r="142" spans="1:15" x14ac:dyDescent="0.2">
      <c r="D142" s="18">
        <f>SUM(D3:D140)</f>
        <v>75404564263.229996</v>
      </c>
      <c r="E142" s="18">
        <f>SUM(E3:E140)</f>
        <v>82363429173.459991</v>
      </c>
      <c r="L142" s="18">
        <f>SUM(L3:L140)</f>
        <v>40389316551.339058</v>
      </c>
      <c r="M142" s="18">
        <f t="shared" ref="M142:O142" si="13">SUM(M3:M140)</f>
        <v>45223753280.918373</v>
      </c>
      <c r="N142" s="18">
        <f t="shared" si="13"/>
        <v>10530087292.359089</v>
      </c>
      <c r="O142" s="18">
        <f t="shared" si="13"/>
        <v>11379884266.331253</v>
      </c>
    </row>
  </sheetData>
  <autoFilter ref="A2:E140" xr:uid="{60E59851-7BFF-4668-8C18-5ABC1DCC56BC}"/>
  <mergeCells count="5">
    <mergeCell ref="A140:B140"/>
    <mergeCell ref="F2:G2"/>
    <mergeCell ref="H2:I2"/>
    <mergeCell ref="L1:M1"/>
    <mergeCell ref="N1:O1"/>
  </mergeCells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2427-83A6-45C2-8629-9C57567537A2}">
  <dimension ref="A1:T26"/>
  <sheetViews>
    <sheetView topLeftCell="E1" workbookViewId="0">
      <selection activeCell="K17" sqref="K17"/>
    </sheetView>
  </sheetViews>
  <sheetFormatPr baseColWidth="10" defaultColWidth="8.83203125" defaultRowHeight="15" x14ac:dyDescent="0.2"/>
  <cols>
    <col min="1" max="1" width="21.1640625" customWidth="1"/>
    <col min="2" max="2" width="20.5" customWidth="1"/>
    <col min="3" max="3" width="61.1640625" customWidth="1"/>
    <col min="4" max="4" width="20.6640625" customWidth="1"/>
    <col min="5" max="6" width="17.33203125" bestFit="1" customWidth="1"/>
    <col min="7" max="8" width="8.6640625" customWidth="1"/>
    <col min="9" max="10" width="17.5" customWidth="1"/>
    <col min="11" max="12" width="17.33203125" bestFit="1" customWidth="1"/>
    <col min="14" max="15" width="17.5" customWidth="1"/>
    <col min="16" max="16" width="20.6640625" customWidth="1"/>
    <col min="17" max="17" width="17.33203125" customWidth="1"/>
    <col min="18" max="18" width="19.5" customWidth="1"/>
    <col min="19" max="20" width="22.33203125" customWidth="1"/>
  </cols>
  <sheetData>
    <row r="1" spans="1:20" ht="50" customHeight="1" x14ac:dyDescent="0.2">
      <c r="E1" s="44" t="s">
        <v>252</v>
      </c>
      <c r="F1" s="44"/>
      <c r="G1" s="44"/>
      <c r="H1" s="44"/>
      <c r="I1" s="45" t="s">
        <v>276</v>
      </c>
      <c r="J1" s="44"/>
      <c r="K1" s="45" t="s">
        <v>253</v>
      </c>
      <c r="L1" s="45"/>
      <c r="N1" s="45" t="s">
        <v>278</v>
      </c>
      <c r="O1" s="45"/>
      <c r="Q1" s="45" t="s">
        <v>260</v>
      </c>
      <c r="R1" s="45"/>
      <c r="S1" s="45" t="s">
        <v>277</v>
      </c>
      <c r="T1" s="45"/>
    </row>
    <row r="2" spans="1:20" x14ac:dyDescent="0.2">
      <c r="A2" s="27" t="s">
        <v>23</v>
      </c>
      <c r="B2" s="27" t="s">
        <v>2</v>
      </c>
      <c r="C2" s="27" t="s">
        <v>263</v>
      </c>
      <c r="D2" s="27" t="s">
        <v>261</v>
      </c>
      <c r="E2" s="26">
        <v>2023</v>
      </c>
      <c r="F2" s="26">
        <v>2024</v>
      </c>
      <c r="G2" s="33">
        <v>20.23</v>
      </c>
      <c r="H2" s="33">
        <v>20.239999999999998</v>
      </c>
      <c r="I2" s="26">
        <v>2023</v>
      </c>
      <c r="J2" s="26">
        <v>2024</v>
      </c>
      <c r="K2" s="26">
        <v>2023</v>
      </c>
      <c r="L2" s="26">
        <v>2024</v>
      </c>
      <c r="N2" s="26">
        <v>2023</v>
      </c>
      <c r="O2" s="26">
        <v>2024</v>
      </c>
      <c r="P2" s="27" t="s">
        <v>262</v>
      </c>
      <c r="Q2" s="26">
        <v>2023</v>
      </c>
      <c r="R2" s="26">
        <v>2024</v>
      </c>
      <c r="S2" s="26">
        <v>2023</v>
      </c>
      <c r="T2" s="26">
        <v>2024</v>
      </c>
    </row>
    <row r="3" spans="1:20" x14ac:dyDescent="0.2">
      <c r="A3" s="21" t="s">
        <v>15</v>
      </c>
      <c r="B3" s="21" t="s">
        <v>170</v>
      </c>
      <c r="C3" s="21" t="s">
        <v>264</v>
      </c>
      <c r="D3" s="21" t="s">
        <v>167</v>
      </c>
      <c r="E3" s="22">
        <f>SUMIFS('Totais Rend TNA por Categoria'!$D$3:$D$140,'Totais Rend TNA por Categoria'!$C$3:$C$140,'estimativa bc débitos'!A3)</f>
        <v>19210976020.589405</v>
      </c>
      <c r="F3" s="22">
        <f>SUMIFS('Totais Rend TNA por Categoria'!$E$3:$E$140,'Totais Rend TNA por Categoria'!$C$3:$C$140,'estimativa bc débitos'!A3)</f>
        <v>20701991350.676208</v>
      </c>
      <c r="G3" s="23">
        <f t="shared" ref="G3:G10" si="0">E3/$E$10</f>
        <v>0.25477205800866048</v>
      </c>
      <c r="H3" s="23">
        <f t="shared" ref="H3:H10" si="1">F3/$F$10</f>
        <v>0.25134931314087416</v>
      </c>
      <c r="I3" s="43">
        <f>E3*(1-$F$20)</f>
        <v>15368780816.471525</v>
      </c>
      <c r="J3" s="43">
        <f>F3*(1-$F$20)</f>
        <v>16561593080.540968</v>
      </c>
      <c r="K3" s="22">
        <f>SUMIFS('Totais Rend TNA por Categoria'!$L$3:$L$140,'Totais Rend TNA por Categoria'!$C$3:$C$140,'estimativa bc débitos'!A3)</f>
        <v>9605488010.2947025</v>
      </c>
      <c r="L3" s="22">
        <f>SUMIFS('Totais Rend TNA por Categoria'!$M$3:$M$140,'Totais Rend TNA por Categoria'!$C$3:$C$140,'estimativa bc débitos'!A3)</f>
        <v>10350995675.338104</v>
      </c>
      <c r="M3" s="20">
        <f t="shared" ref="M3:M10" si="2">L3/F3</f>
        <v>0.5</v>
      </c>
      <c r="N3" s="43">
        <f>K3*(1-$F$20)</f>
        <v>7684390408.2357626</v>
      </c>
      <c r="O3" s="43">
        <f>L3*(1-$F$20)</f>
        <v>8280796540.270484</v>
      </c>
      <c r="P3" s="21" t="s">
        <v>167</v>
      </c>
      <c r="Q3" s="22">
        <f>SUMIFS('Totais Rend TNA por Categoria'!$N$3:$N$140,'Totais Rend TNA por Categoria'!$C$3:$C$140,'estimativa bc débitos'!A3)</f>
        <v>941865256.44925964</v>
      </c>
      <c r="R3" s="22">
        <f>SUMIFS('Totais Rend TNA por Categoria'!$O$3:$O$140,'Totais Rend TNA por Categoria'!$C$3:$C$140,'estimativa bc débitos'!A3)</f>
        <v>990890717.16798735</v>
      </c>
      <c r="S3" s="43">
        <f>Q3*(1-$F$20)</f>
        <v>753492205.15940773</v>
      </c>
      <c r="T3" s="43">
        <f>R3*(1-$F$20)</f>
        <v>792712573.7343899</v>
      </c>
    </row>
    <row r="4" spans="1:20" x14ac:dyDescent="0.2">
      <c r="A4" t="s">
        <v>46</v>
      </c>
      <c r="B4" t="s">
        <v>174</v>
      </c>
      <c r="C4" t="s">
        <v>265</v>
      </c>
      <c r="D4" t="s">
        <v>167</v>
      </c>
      <c r="E4" s="18">
        <f>SUMIFS('Totais Rend TNA por Categoria'!$D$3:$D$140,'Totais Rend TNA por Categoria'!$C$3:$C$140,'estimativa bc débitos'!A4)</f>
        <v>24278582199.870415</v>
      </c>
      <c r="F4" s="18">
        <f>SUMIFS('Totais Rend TNA por Categoria'!$E$3:$E$140,'Totais Rend TNA por Categoria'!$C$3:$C$140,'estimativa bc débitos'!A4)</f>
        <v>28075560143.201035</v>
      </c>
      <c r="G4" s="20">
        <f t="shared" si="0"/>
        <v>0.32197762081239861</v>
      </c>
      <c r="H4" s="20">
        <f t="shared" si="1"/>
        <v>0.34087410425897896</v>
      </c>
      <c r="I4" s="18">
        <f>E4</f>
        <v>24278582199.870415</v>
      </c>
      <c r="J4" s="18">
        <f>F4</f>
        <v>28075560143.201035</v>
      </c>
      <c r="K4" s="18">
        <f>SUMIFS('Totais Rend TNA por Categoria'!$L$3:$L$140,'Totais Rend TNA por Categoria'!$C$3:$C$140,'estimativa bc débitos'!A4)</f>
        <v>22398093367.568268</v>
      </c>
      <c r="L4" s="18">
        <f>SUMIFS('Totais Rend TNA por Categoria'!$M$3:$M$140,'Totais Rend TNA por Categoria'!$C$3:$C$140,'estimativa bc débitos'!A4)</f>
        <v>25900977753.03994</v>
      </c>
      <c r="M4" s="20">
        <f t="shared" si="2"/>
        <v>0.9225453604818743</v>
      </c>
      <c r="N4" s="18">
        <f>K4</f>
        <v>22398093367.568268</v>
      </c>
      <c r="O4" s="18">
        <f>L4</f>
        <v>25900977753.03994</v>
      </c>
      <c r="P4" t="s">
        <v>167</v>
      </c>
      <c r="Q4" s="37">
        <f>SUMIFS('Totais Rend TNA por Categoria'!$N$3:$N$140,'Totais Rend TNA por Categoria'!$C$3:$C$140,'estimativa bc débitos'!A4)</f>
        <v>4248318848.6107416</v>
      </c>
      <c r="R4" s="37">
        <f>SUMIFS('Totais Rend TNA por Categoria'!$O$3:$O$140,'Totais Rend TNA por Categoria'!$C$3:$C$140,'estimativa bc débitos'!A4)</f>
        <v>4794143012.8905001</v>
      </c>
      <c r="S4" s="37">
        <f>Q4</f>
        <v>4248318848.6107416</v>
      </c>
      <c r="T4" s="37">
        <f>R4</f>
        <v>4794143012.8905001</v>
      </c>
    </row>
    <row r="5" spans="1:20" x14ac:dyDescent="0.2">
      <c r="A5" t="s">
        <v>164</v>
      </c>
      <c r="B5" t="s">
        <v>171</v>
      </c>
      <c r="C5" t="s">
        <v>266</v>
      </c>
      <c r="D5" t="s">
        <v>168</v>
      </c>
      <c r="E5" s="18">
        <f>SUMIFS('Totais Rend TNA por Categoria'!$D$3:$D$140,'Totais Rend TNA por Categoria'!$C$3:$C$140,'estimativa bc débitos'!A5)</f>
        <v>5411569402.4531078</v>
      </c>
      <c r="F5" s="18">
        <f>SUMIFS('Totais Rend TNA por Categoria'!$E$3:$E$140,'Totais Rend TNA por Categoria'!$C$3:$C$140,'estimativa bc débitos'!A5)</f>
        <v>5915483727.8868465</v>
      </c>
      <c r="G5" s="20">
        <f t="shared" si="0"/>
        <v>7.1767133134830463E-2</v>
      </c>
      <c r="H5" s="20">
        <f t="shared" si="1"/>
        <v>7.1821727036506078E-2</v>
      </c>
      <c r="I5" s="43">
        <f t="shared" ref="I5:I8" si="3">E5*(1-$F$20)</f>
        <v>4329255521.9624863</v>
      </c>
      <c r="J5" s="43">
        <f t="shared" ref="J5:J8" si="4">F5*(1-$F$20)</f>
        <v>4732386982.3094778</v>
      </c>
      <c r="K5" s="18">
        <f>SUMIFS('Totais Rend TNA por Categoria'!$L$3:$L$140,'Totais Rend TNA por Categoria'!$C$3:$C$140,'estimativa bc débitos'!A5)</f>
        <v>4516215888.8778868</v>
      </c>
      <c r="L5" s="18">
        <f>SUMIFS('Totais Rend TNA por Categoria'!$M$3:$M$140,'Totais Rend TNA por Categoria'!$C$3:$C$140,'estimativa bc débitos'!A5)</f>
        <v>4945110339.0639057</v>
      </c>
      <c r="M5" s="20">
        <f t="shared" si="2"/>
        <v>0.83596043308370627</v>
      </c>
      <c r="N5" s="43">
        <f t="shared" ref="N5:N8" si="5">K5*(1-$F$20)</f>
        <v>3612972711.1023097</v>
      </c>
      <c r="O5" s="43">
        <f t="shared" ref="O5:O8" si="6">L5*(1-$F$20)</f>
        <v>3956088271.2511249</v>
      </c>
      <c r="P5" t="s">
        <v>167</v>
      </c>
      <c r="Q5" s="37">
        <f>SUMIFS('Totais Rend TNA por Categoria'!$N$3:$N$140,'Totais Rend TNA por Categoria'!$C$3:$C$140,'estimativa bc débitos'!A5)</f>
        <v>392809354.17420751</v>
      </c>
      <c r="R5" s="37">
        <f>SUMIFS('Totais Rend TNA por Categoria'!$O$3:$O$140,'Totais Rend TNA por Categoria'!$C$3:$C$140,'estimativa bc débitos'!A5)</f>
        <v>417738657.14972842</v>
      </c>
      <c r="S5" s="43">
        <f t="shared" ref="S5:S8" si="7">Q5*(1-$F$20)</f>
        <v>314247483.33936602</v>
      </c>
      <c r="T5" s="43">
        <f t="shared" ref="T5:T8" si="8">R5*(1-$F$20)</f>
        <v>334190925.71978277</v>
      </c>
    </row>
    <row r="6" spans="1:20" x14ac:dyDescent="0.2">
      <c r="A6" t="s">
        <v>62</v>
      </c>
      <c r="B6" t="s">
        <v>62</v>
      </c>
      <c r="C6" t="s">
        <v>267</v>
      </c>
      <c r="D6" t="s">
        <v>169</v>
      </c>
      <c r="E6" s="18">
        <f>SUMIFS('Totais Rend TNA por Categoria'!$D$3:$D$140,'Totais Rend TNA por Categoria'!$C$3:$C$140,'estimativa bc débitos'!A6)</f>
        <v>24343716374.105022</v>
      </c>
      <c r="F6" s="18">
        <f>SUMIFS('Totais Rend TNA por Categoria'!$E$3:$E$140,'Totais Rend TNA por Categoria'!$C$3:$C$140,'estimativa bc débitos'!A6)</f>
        <v>25442833563.533131</v>
      </c>
      <c r="G6" s="20">
        <f t="shared" si="0"/>
        <v>0.32284141698801511</v>
      </c>
      <c r="H6" s="20">
        <f t="shared" si="1"/>
        <v>0.30890935235284717</v>
      </c>
      <c r="I6" s="43">
        <f t="shared" si="3"/>
        <v>19474973099.284019</v>
      </c>
      <c r="J6" s="43">
        <f t="shared" si="4"/>
        <v>20354266850.826504</v>
      </c>
      <c r="K6" s="18">
        <f>SUMIFS('Totais Rend TNA por Categoria'!$L$3:$L$140,'Totais Rend TNA por Categoria'!$C$3:$C$140,'estimativa bc débitos'!A6)</f>
        <v>3001163507.5676084</v>
      </c>
      <c r="L6" s="18">
        <f>SUMIFS('Totais Rend TNA por Categoria'!$M$3:$M$140,'Totais Rend TNA por Categoria'!$C$3:$C$140,'estimativa bc débitos'!A6)</f>
        <v>3136665842.0821848</v>
      </c>
      <c r="M6" s="20">
        <f t="shared" si="2"/>
        <v>0.12328288176903085</v>
      </c>
      <c r="N6" s="43">
        <f t="shared" si="5"/>
        <v>2400930806.0540867</v>
      </c>
      <c r="O6" s="43">
        <f t="shared" si="6"/>
        <v>2509332673.6657481</v>
      </c>
      <c r="P6" t="s">
        <v>167</v>
      </c>
      <c r="Q6" s="37">
        <f>SUMIFS('Totais Rend TNA por Categoria'!$N$3:$N$140,'Totais Rend TNA por Categoria'!$C$3:$C$140,'estimativa bc débitos'!A6)</f>
        <v>4881546786.421443</v>
      </c>
      <c r="R6" s="37">
        <f>SUMIFS('Totais Rend TNA por Categoria'!$O$3:$O$140,'Totais Rend TNA por Categoria'!$C$3:$C$140,'estimativa bc débitos'!A6)</f>
        <v>5108431052.7874432</v>
      </c>
      <c r="S6" s="43">
        <f t="shared" si="7"/>
        <v>3905237429.1371546</v>
      </c>
      <c r="T6" s="43">
        <f t="shared" si="8"/>
        <v>4086744842.2299547</v>
      </c>
    </row>
    <row r="7" spans="1:20" x14ac:dyDescent="0.2">
      <c r="A7" t="s">
        <v>82</v>
      </c>
      <c r="B7" t="s">
        <v>173</v>
      </c>
      <c r="C7" t="s">
        <v>268</v>
      </c>
      <c r="D7" t="s">
        <v>169</v>
      </c>
      <c r="E7" s="18">
        <f>SUMIFS('Totais Rend TNA por Categoria'!$D$3:$D$140,'Totais Rend TNA por Categoria'!$C$3:$C$140,'estimativa bc débitos'!A7)</f>
        <v>277701961.95273006</v>
      </c>
      <c r="F7" s="18">
        <f>SUMIFS('Totais Rend TNA por Categoria'!$E$3:$E$140,'Totais Rend TNA por Categoria'!$C$3:$C$140,'estimativa bc débitos'!A7)</f>
        <v>285241599.87161434</v>
      </c>
      <c r="G7" s="20">
        <f t="shared" si="0"/>
        <v>3.6828269570433358E-3</v>
      </c>
      <c r="H7" s="20">
        <f t="shared" si="1"/>
        <v>3.4632069443209612E-3</v>
      </c>
      <c r="I7" s="43">
        <f t="shared" si="3"/>
        <v>222161569.56218407</v>
      </c>
      <c r="J7" s="43">
        <f t="shared" si="4"/>
        <v>228193279.89729148</v>
      </c>
      <c r="K7" s="18">
        <f>SUMIFS('Totais Rend TNA por Categoria'!$L$3:$L$140,'Totais Rend TNA por Categoria'!$C$3:$C$140,'estimativa bc débitos'!A7)</f>
        <v>145670955.79822722</v>
      </c>
      <c r="L7" s="18">
        <f>SUMIFS('Totais Rend TNA por Categoria'!$M$3:$M$140,'Totais Rend TNA por Categoria'!$C$3:$C$140,'estimativa bc débitos'!A7)</f>
        <v>148187924.88860008</v>
      </c>
      <c r="M7" s="20">
        <f t="shared" si="2"/>
        <v>0.51951722664330391</v>
      </c>
      <c r="N7" s="43">
        <f t="shared" si="5"/>
        <v>116536764.63858178</v>
      </c>
      <c r="O7" s="43">
        <f t="shared" si="6"/>
        <v>118550339.91088007</v>
      </c>
      <c r="P7" t="s">
        <v>167</v>
      </c>
      <c r="Q7" s="37">
        <f>SUMIFS('Totais Rend TNA por Categoria'!$N$3:$N$140,'Totais Rend TNA por Categoria'!$C$3:$C$140,'estimativa bc débitos'!A7)</f>
        <v>7916253.2177773388</v>
      </c>
      <c r="R7" s="37">
        <f>SUMIFS('Totais Rend TNA por Categoria'!$O$3:$O$140,'Totais Rend TNA por Categoria'!$C$3:$C$140,'estimativa bc débitos'!A7)</f>
        <v>8181694.3668673746</v>
      </c>
      <c r="S7" s="43">
        <f t="shared" si="7"/>
        <v>6333002.5742218718</v>
      </c>
      <c r="T7" s="43">
        <f t="shared" si="8"/>
        <v>6545355.4934938997</v>
      </c>
    </row>
    <row r="8" spans="1:20" x14ac:dyDescent="0.2">
      <c r="A8" t="s">
        <v>96</v>
      </c>
      <c r="B8" t="s">
        <v>172</v>
      </c>
      <c r="C8" t="s">
        <v>269</v>
      </c>
      <c r="D8" t="s">
        <v>169</v>
      </c>
      <c r="E8" s="18">
        <f>SUMIFS('Totais Rend TNA por Categoria'!$D$3:$D$140,'Totais Rend TNA por Categoria'!$C$3:$C$140,'estimativa bc débitos'!A8)</f>
        <v>602870206.23125815</v>
      </c>
      <c r="F8" s="18">
        <f>SUMIFS('Totais Rend TNA por Categoria'!$E$3:$E$140,'Totais Rend TNA por Categoria'!$C$3:$C$140,'estimativa bc débitos'!A8)</f>
        <v>633298412.42261565</v>
      </c>
      <c r="G8" s="20">
        <f t="shared" si="0"/>
        <v>7.9951420994450254E-3</v>
      </c>
      <c r="H8" s="20">
        <f t="shared" si="1"/>
        <v>7.6890729147382755E-3</v>
      </c>
      <c r="I8" s="43">
        <f t="shared" si="3"/>
        <v>482296164.98500657</v>
      </c>
      <c r="J8" s="43">
        <f t="shared" si="4"/>
        <v>506638729.93809253</v>
      </c>
      <c r="K8" s="18">
        <f>SUMIFS('Totais Rend TNA por Categoria'!$L$3:$L$140,'Totais Rend TNA por Categoria'!$C$3:$C$140,'estimativa bc débitos'!A8)</f>
        <v>83110772.2182827</v>
      </c>
      <c r="L8" s="18">
        <f>SUMIFS('Totais Rend TNA por Categoria'!$M$3:$M$140,'Totais Rend TNA por Categoria'!$C$3:$C$140,'estimativa bc débitos'!A8)</f>
        <v>87305558.571368381</v>
      </c>
      <c r="M8" s="20">
        <f t="shared" si="2"/>
        <v>0.13785848323445224</v>
      </c>
      <c r="N8" s="43">
        <f t="shared" si="5"/>
        <v>66488617.774626166</v>
      </c>
      <c r="O8" s="43">
        <f t="shared" si="6"/>
        <v>69844446.857094705</v>
      </c>
      <c r="P8" t="s">
        <v>167</v>
      </c>
      <c r="Q8" s="37">
        <f>SUMIFS('Totais Rend TNA por Categoria'!$N$3:$N$140,'Totais Rend TNA por Categoria'!$C$3:$C$140,'estimativa bc débitos'!A8)</f>
        <v>33375402.374865163</v>
      </c>
      <c r="R8" s="37">
        <f>SUMIFS('Totais Rend TNA por Categoria'!$O$3:$O$140,'Totais Rend TNA por Categoria'!$C$3:$C$140,'estimativa bc débitos'!A8)</f>
        <v>34836844.085274711</v>
      </c>
      <c r="S8" s="43">
        <f t="shared" si="7"/>
        <v>26700321.899892133</v>
      </c>
      <c r="T8" s="43">
        <f t="shared" si="8"/>
        <v>27869475.268219769</v>
      </c>
    </row>
    <row r="9" spans="1:20" x14ac:dyDescent="0.2">
      <c r="A9" s="34" t="s">
        <v>258</v>
      </c>
      <c r="B9" s="34" t="s">
        <v>259</v>
      </c>
      <c r="C9" s="34"/>
      <c r="D9" s="34" t="s">
        <v>258</v>
      </c>
      <c r="E9" s="35">
        <f>SUMIFS('Totais Rend TNA por Categoria'!$D$3:$D$140,'Totais Rend TNA por Categoria'!$C$3:$C$140,'estimativa bc débitos'!A9)</f>
        <v>1279148098.02806</v>
      </c>
      <c r="F9" s="35">
        <f>SUMIFS('Totais Rend TNA por Categoria'!$E$3:$E$140,'Totais Rend TNA por Categoria'!$C$3:$C$140,'estimativa bc débitos'!A9)</f>
        <v>1309020375.8685443</v>
      </c>
      <c r="G9" s="36">
        <f t="shared" si="0"/>
        <v>1.696380199960679E-2</v>
      </c>
      <c r="H9" s="36">
        <f t="shared" si="1"/>
        <v>1.5893223351734247E-2</v>
      </c>
      <c r="I9" s="35">
        <f>SUMIFS('Totais Rend TNA por Categoria'!$D$3:$D$140,'Totais Rend TNA por Categoria'!$C$3:$C$140,'estimativa bc débitos'!E9)</f>
        <v>0</v>
      </c>
      <c r="J9" s="35">
        <f>SUMIFS('Totais Rend TNA por Categoria'!$E$3:$E$140,'Totais Rend TNA por Categoria'!$C$3:$C$140,'estimativa bc débitos'!E9)</f>
        <v>0</v>
      </c>
      <c r="K9" s="35">
        <f>SUMIFS('Totais Rend TNA por Categoria'!$L$3:$L$140,'Totais Rend TNA por Categoria'!$C$3:$C$140,'estimativa bc débitos'!A9)</f>
        <v>639574049.01402998</v>
      </c>
      <c r="L9" s="35">
        <f>SUMIFS('Totais Rend TNA por Categoria'!$M$3:$M$140,'Totais Rend TNA por Categoria'!$C$3:$C$140,'estimativa bc débitos'!A9)</f>
        <v>654510187.93427217</v>
      </c>
      <c r="M9" s="36">
        <f t="shared" si="2"/>
        <v>0.5</v>
      </c>
      <c r="N9" s="35"/>
      <c r="O9" s="35"/>
      <c r="P9" s="34" t="s">
        <v>258</v>
      </c>
      <c r="Q9" s="35">
        <f>SUMIFS('Totais Rend TNA por Categoria'!$N$3:$N$140,'Totais Rend TNA por Categoria'!$C$3:$C$140,'estimativa bc débitos'!A9)</f>
        <v>24255391.110797022</v>
      </c>
      <c r="R9" s="35">
        <f>SUMIFS('Totais Rend TNA por Categoria'!$O$3:$O$140,'Totais Rend TNA por Categoria'!$C$3:$C$140,'estimativa bc débitos'!A9)</f>
        <v>25662287.883450333</v>
      </c>
      <c r="S9" s="35">
        <f>SUMIFS('Totais Rend TNA por Categoria'!$N$3:$N$140,'Totais Rend TNA por Categoria'!$C$3:$C$140,'estimativa bc débitos'!C9)</f>
        <v>0</v>
      </c>
      <c r="T9" s="35">
        <f>SUMIFS('Totais Rend TNA por Categoria'!$O$3:$O$140,'Totais Rend TNA por Categoria'!$C$3:$C$140,'estimativa bc débitos'!C9)</f>
        <v>0</v>
      </c>
    </row>
    <row r="10" spans="1:20" x14ac:dyDescent="0.2">
      <c r="E10" s="19">
        <f>SUM(E3:E9)</f>
        <v>75404564263.230011</v>
      </c>
      <c r="F10" s="19">
        <f>SUM(F3:F9)</f>
        <v>82363429173.460007</v>
      </c>
      <c r="G10" s="20">
        <f t="shared" si="0"/>
        <v>1</v>
      </c>
      <c r="H10" s="20">
        <f t="shared" si="1"/>
        <v>1</v>
      </c>
      <c r="I10" s="19">
        <f>SUM(I3:I9)</f>
        <v>64156049372.135643</v>
      </c>
      <c r="J10" s="19">
        <f>SUM(J3:J9)</f>
        <v>70458639066.713379</v>
      </c>
      <c r="K10" s="19">
        <f>SUM(K3:K9)</f>
        <v>40389316551.339005</v>
      </c>
      <c r="L10" s="19">
        <f>SUM(L3:L9)</f>
        <v>45223753280.918373</v>
      </c>
      <c r="M10" s="20">
        <f t="shared" si="2"/>
        <v>0.54907564843707157</v>
      </c>
      <c r="N10" s="19">
        <f>SUM(N3:N9)</f>
        <v>36279412675.373634</v>
      </c>
      <c r="O10" s="19">
        <f>SUM(O3:O9)</f>
        <v>40835590024.99527</v>
      </c>
      <c r="Q10" s="19">
        <f>SUM(Q3:Q9)</f>
        <v>10530087292.359091</v>
      </c>
      <c r="R10" s="19">
        <f>SUM(R3:R9)</f>
        <v>11379884266.331251</v>
      </c>
      <c r="S10" s="19">
        <f>SUM(S3:S9)</f>
        <v>9254329290.7207851</v>
      </c>
      <c r="T10" s="19">
        <f>SUM(T3:T9)</f>
        <v>10042206185.33634</v>
      </c>
    </row>
    <row r="11" spans="1:20" x14ac:dyDescent="0.2">
      <c r="E11" s="19">
        <f>E10-'Totais Rend TNA por Categoria'!D142</f>
        <v>0</v>
      </c>
      <c r="F11" s="19">
        <f>F10-'Totais Rend TNA por Categoria'!E142</f>
        <v>0</v>
      </c>
      <c r="K11" s="19">
        <f>K10-'Totais Rend TNA por Categoria'!L142</f>
        <v>0</v>
      </c>
      <c r="L11" s="19">
        <f>L10-'Totais Rend TNA por Categoria'!M142</f>
        <v>0</v>
      </c>
      <c r="N11" s="19"/>
      <c r="O11" s="19"/>
      <c r="Q11" s="19">
        <f>Q10-'Totais Rend TNA por Categoria'!N142</f>
        <v>0</v>
      </c>
      <c r="R11" s="19">
        <f>R10-'Totais Rend TNA por Categoria'!O142</f>
        <v>0</v>
      </c>
      <c r="S11" s="19"/>
      <c r="T11" s="19"/>
    </row>
    <row r="12" spans="1:20" x14ac:dyDescent="0.2">
      <c r="Q12" s="19">
        <f>SUM(Q3:Q8)</f>
        <v>10505831901.248293</v>
      </c>
      <c r="R12" s="19">
        <f>SUM(R3:R8)</f>
        <v>11354221978.447802</v>
      </c>
      <c r="S12" s="19"/>
      <c r="T12" s="19"/>
    </row>
    <row r="15" spans="1:20" x14ac:dyDescent="0.2">
      <c r="E15" t="s">
        <v>270</v>
      </c>
    </row>
    <row r="16" spans="1:20" ht="16" thickBot="1" x14ac:dyDescent="0.25">
      <c r="E16" t="s">
        <v>271</v>
      </c>
      <c r="F16" t="s">
        <v>272</v>
      </c>
      <c r="K16" t="s">
        <v>255</v>
      </c>
    </row>
    <row r="17" spans="5:11" ht="16" thickBot="1" x14ac:dyDescent="0.25">
      <c r="E17" t="s">
        <v>273</v>
      </c>
      <c r="F17" t="s">
        <v>274</v>
      </c>
      <c r="K17" s="32">
        <v>0.5</v>
      </c>
    </row>
    <row r="19" spans="5:11" ht="16" thickBot="1" x14ac:dyDescent="0.25"/>
    <row r="20" spans="5:11" ht="16" thickBot="1" x14ac:dyDescent="0.25">
      <c r="E20" t="s">
        <v>275</v>
      </c>
      <c r="F20" s="42">
        <v>0.2</v>
      </c>
    </row>
    <row r="21" spans="5:11" x14ac:dyDescent="0.2">
      <c r="E21" s="40"/>
    </row>
    <row r="22" spans="5:11" x14ac:dyDescent="0.2">
      <c r="E22" s="40"/>
    </row>
    <row r="23" spans="5:11" x14ac:dyDescent="0.2">
      <c r="E23" s="41"/>
    </row>
    <row r="26" spans="5:11" x14ac:dyDescent="0.2">
      <c r="E26" s="40"/>
    </row>
  </sheetData>
  <pageMargins left="0.511811024" right="0.511811024" top="0.78740157499999996" bottom="0.78740157499999996" header="0.31496062000000002" footer="0.31496062000000002"/>
  <ignoredErrors>
    <ignoredError sqref="N4:O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Leia-me</vt:lpstr>
      <vt:lpstr>Rend Trab Não Assalariado</vt:lpstr>
      <vt:lpstr>Correção Ocup Não Determinadas</vt:lpstr>
      <vt:lpstr>Totais Rend TNA por Categoria</vt:lpstr>
      <vt:lpstr>estimativa bc débitos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Marques Fernandes</cp:lastModifiedBy>
  <dcterms:created xsi:type="dcterms:W3CDTF">2026-04-11T13:11:16Z</dcterms:created>
  <dcterms:modified xsi:type="dcterms:W3CDTF">2026-05-17T20:25:48Z</dcterms:modified>
</cp:coreProperties>
</file>